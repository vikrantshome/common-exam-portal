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</sheets>
  <definedNames/>
  <calcPr/>
</workbook>
</file>

<file path=xl/sharedStrings.xml><?xml version="1.0" encoding="utf-8"?>
<sst xmlns="http://schemas.openxmlformats.org/spreadsheetml/2006/main" count="1572" uniqueCount="606">
  <si>
    <t>Field</t>
  </si>
  <si>
    <t>Details</t>
  </si>
  <si>
    <t>Section</t>
  </si>
  <si>
    <t>Parameter</t>
  </si>
  <si>
    <t>Exam Name</t>
  </si>
  <si>
    <t>BITSAT 2026</t>
  </si>
  <si>
    <t>KCET 2026</t>
  </si>
  <si>
    <t>Exam Info</t>
  </si>
  <si>
    <t>EAPCET</t>
  </si>
  <si>
    <t>Key Dates</t>
  </si>
  <si>
    <t>Application start date</t>
  </si>
  <si>
    <t>Not officially notified yet</t>
  </si>
  <si>
    <t>Country</t>
  </si>
  <si>
    <t>India</t>
  </si>
  <si>
    <t>Exam Year</t>
  </si>
  <si>
    <t>Application last date</t>
  </si>
  <si>
    <t>Application Start Date</t>
  </si>
  <si>
    <t>Correction window</t>
  </si>
  <si>
    <t>Application Last Date</t>
  </si>
  <si>
    <t>Exam dates</t>
  </si>
  <si>
    <t>Exam date(s)</t>
  </si>
  <si>
    <t>Correction Window</t>
  </si>
  <si>
    <t>Admit card release</t>
  </si>
  <si>
    <t>Additional registration</t>
  </si>
  <si>
    <t>Exam Dates</t>
  </si>
  <si>
    <t>23 &amp; 24 April 2026</t>
  </si>
  <si>
    <t>Result declaration</t>
  </si>
  <si>
    <t>Admit Card Release</t>
  </si>
  <si>
    <t>Exam Structure</t>
  </si>
  <si>
    <t>Mode of exam</t>
  </si>
  <si>
    <t>Result Declaration</t>
  </si>
  <si>
    <t>Number of sessions</t>
  </si>
  <si>
    <t>Single session</t>
  </si>
  <si>
    <t>Mode of Exam</t>
  </si>
  <si>
    <t>Computer Based Test (CBT)</t>
  </si>
  <si>
    <t>Offline (OMR)</t>
  </si>
  <si>
    <t>Duration</t>
  </si>
  <si>
    <t>Offline (OMR-based)</t>
  </si>
  <si>
    <t>3 Hours</t>
  </si>
  <si>
    <t>Number of Attempts</t>
  </si>
  <si>
    <t>One per year</t>
  </si>
  <si>
    <t>Medium / Language</t>
  </si>
  <si>
    <t>3 Hours (180 minutes)</t>
  </si>
  <si>
    <t>Language</t>
  </si>
  <si>
    <t>English</t>
  </si>
  <si>
    <t>Eligibility</t>
  </si>
  <si>
    <t>10+2 Passed/Appearing with required subjects</t>
  </si>
  <si>
    <t>Attempts allowed</t>
  </si>
  <si>
    <t>Medium</t>
  </si>
  <si>
    <t>Gujarati, English, Hindi</t>
  </si>
  <si>
    <t>Attempts Allowed</t>
  </si>
  <si>
    <t>Application Fee (General/OBC)</t>
  </si>
  <si>
    <t>₹500</t>
  </si>
  <si>
    <t>Languages</t>
  </si>
  <si>
    <t>English &amp; Telugu</t>
  </si>
  <si>
    <t>Nationality</t>
  </si>
  <si>
    <t>Indian (2026 notification awaited)</t>
  </si>
  <si>
    <t>No official limit specified</t>
  </si>
  <si>
    <t>Indian</t>
  </si>
  <si>
    <t>Application Fee (SC/ST/Cat-1)</t>
  </si>
  <si>
    <t>₹250</t>
  </si>
  <si>
    <t>Age limit</t>
  </si>
  <si>
    <t>Best score rule</t>
  </si>
  <si>
    <t>Not applicable</t>
  </si>
  <si>
    <t>Educational Qualification</t>
  </si>
  <si>
    <t>12th from a recognized board</t>
  </si>
  <si>
    <t>Application Fee (Outside Karnataka)</t>
  </si>
  <si>
    <t>₹750</t>
  </si>
  <si>
    <t>Educational qualification</t>
  </si>
  <si>
    <t>Class 12 or equivalent (notification awaited)</t>
  </si>
  <si>
    <t>Required Subjects</t>
  </si>
  <si>
    <t>PCM for Engineering / PCB for Pharmacy</t>
  </si>
  <si>
    <t>Application Fee (Foreign)</t>
  </si>
  <si>
    <t>₹5000</t>
  </si>
  <si>
    <t>Age Limit</t>
  </si>
  <si>
    <t>Engineering: Min 16 years; Agriculture: 17–22 years (25 for SC/ST)</t>
  </si>
  <si>
    <t>Year of passing</t>
  </si>
  <si>
    <t>No age limit specified</t>
  </si>
  <si>
    <t>Application Fee (Domestic)</t>
  </si>
  <si>
    <t>Reservation</t>
  </si>
  <si>
    <t>As per Karnataka Government rules</t>
  </si>
  <si>
    <t>Qualification</t>
  </si>
  <si>
    <t>Passed / Appearing 10+2</t>
  </si>
  <si>
    <t>Application Fees</t>
  </si>
  <si>
    <t>Domestic centres</t>
  </si>
  <si>
    <t>Class 12 (10+2) passed/appearing</t>
  </si>
  <si>
    <t>Application Fee (International)</t>
  </si>
  <si>
    <t>Official Website</t>
  </si>
  <si>
    <t>https://cetonline.karnataka.gov.in</t>
  </si>
  <si>
    <t>Subject Requirement</t>
  </si>
  <si>
    <t>Engineering: MPC; Agriculture: BiPC</t>
  </si>
  <si>
    <t>International centres</t>
  </si>
  <si>
    <t>2024, 2025 passed or 2026 appearing</t>
  </si>
  <si>
    <t>Refund Policy</t>
  </si>
  <si>
    <t xml:space="preserve">Registration link </t>
  </si>
  <si>
    <t>https://cetonline.karnataka.gov.in/onlineapp2026/forms/login.aspx</t>
  </si>
  <si>
    <t>Application Fee</t>
  </si>
  <si>
    <t>General / OBC</t>
  </si>
  <si>
    <t>₹600</t>
  </si>
  <si>
    <t>Refund policy</t>
  </si>
  <si>
    <t>Subject requirements</t>
  </si>
  <si>
    <t>Physics and Mathematics compulsory</t>
  </si>
  <si>
    <t>Reservation Policy</t>
  </si>
  <si>
    <t>No caste-based reservation</t>
  </si>
  <si>
    <t>SC / ST</t>
  </si>
  <si>
    <t>Category-based reservation</t>
  </si>
  <si>
    <t>As per GoI norms (notification awaited)</t>
  </si>
  <si>
    <t>Special notes</t>
  </si>
  <si>
    <t>Primarily for Gujarat state colleges</t>
  </si>
  <si>
    <t>PwD Reservation</t>
  </si>
  <si>
    <t>As per institute norms (not notified)</t>
  </si>
  <si>
    <t>Non-refundable</t>
  </si>
  <si>
    <t>PwD criteria</t>
  </si>
  <si>
    <t>Fees</t>
  </si>
  <si>
    <t>Fee basis</t>
  </si>
  <si>
    <t>Single fee</t>
  </si>
  <si>
    <t>Photograph Format</t>
  </si>
  <si>
    <t>JPG/JPEG</t>
  </si>
  <si>
    <t>Documents</t>
  </si>
  <si>
    <t>Photograph</t>
  </si>
  <si>
    <t>3.5x4.5 cm, JPG, 10–200 KB, White background</t>
  </si>
  <si>
    <t>Photograph specifications</t>
  </si>
  <si>
    <t>Refundability</t>
  </si>
  <si>
    <t>Signature Format</t>
  </si>
  <si>
    <t>Signature</t>
  </si>
  <si>
    <t>Black/Blue ink, JPG, 4–30 KB</t>
  </si>
  <si>
    <t>Signature specifications</t>
  </si>
  <si>
    <t>Domestic centres fee</t>
  </si>
  <si>
    <t>Photo Background</t>
  </si>
  <si>
    <t>White</t>
  </si>
  <si>
    <t>Class 10 Certificate</t>
  </si>
  <si>
    <t>DOB verification</t>
  </si>
  <si>
    <t>Class 10 document</t>
  </si>
  <si>
    <t>DOB verification (upload rules awaited)</t>
  </si>
  <si>
    <t>Signature Ink</t>
  </si>
  <si>
    <t>Black or Blue</t>
  </si>
  <si>
    <t>Class 12 Certificate</t>
  </si>
  <si>
    <t>Passed/Appearing</t>
  </si>
  <si>
    <t>Class 12 document</t>
  </si>
  <si>
    <t>Passed / Appearing rules awaited</t>
  </si>
  <si>
    <t>Yes (as per Gujarat Govt norms)</t>
  </si>
  <si>
    <t>Payment Modes</t>
  </si>
  <si>
    <t>Debit Card, Credit Card, Net Banking, UPI</t>
  </si>
  <si>
    <t>Aadhaar Card</t>
  </si>
  <si>
    <t>Mandatory</t>
  </si>
  <si>
    <t>Payment</t>
  </si>
  <si>
    <t>Payment modes</t>
  </si>
  <si>
    <t>As per state rules</t>
  </si>
  <si>
    <t>Offline Payment</t>
  </si>
  <si>
    <t>No</t>
  </si>
  <si>
    <t>Exam Preferences</t>
  </si>
  <si>
    <t>Paper Choice</t>
  </si>
  <si>
    <t>Engineering / Agriculture &amp; Pharmacy</t>
  </si>
  <si>
    <t>Offline payment</t>
  </si>
  <si>
    <t>Other quotas</t>
  </si>
  <si>
    <t>As per ACPC counselling rules</t>
  </si>
  <si>
    <t>https://www.bitsadmission.com</t>
  </si>
  <si>
    <t>Exam City Choice</t>
  </si>
  <si>
    <t>Multiple options</t>
  </si>
  <si>
    <t>Preferences</t>
  </si>
  <si>
    <t>Exam city choice</t>
  </si>
  <si>
    <t>Certificate upload stage</t>
  </si>
  <si>
    <t>Counselling stage</t>
  </si>
  <si>
    <t>Language Choice</t>
  </si>
  <si>
    <t>English or Telugu</t>
  </si>
  <si>
    <t>Program / paper choice</t>
  </si>
  <si>
    <t>Rules</t>
  </si>
  <si>
    <t>Helpdesk</t>
  </si>
  <si>
    <t>https://cets.apsche.ap.gov.in</t>
  </si>
  <si>
    <t>Official Links</t>
  </si>
  <si>
    <t>Official website</t>
  </si>
  <si>
    <t>https://cuet.samarth.ac.in</t>
  </si>
  <si>
    <t>Correction restrictions</t>
  </si>
  <si>
    <t>Limited fields (not notified yet)</t>
  </si>
  <si>
    <t>Application Portal</t>
  </si>
  <si>
    <t>https://sche.ap.gov.in/EAPCET</t>
  </si>
  <si>
    <t>Application portal</t>
  </si>
  <si>
    <t>Score normalization</t>
  </si>
  <si>
    <t>Email</t>
  </si>
  <si>
    <t>helpdeskapeapcet@apsche.org</t>
  </si>
  <si>
    <t>Tie-breaking rules</t>
  </si>
  <si>
    <t>Helpline</t>
  </si>
  <si>
    <t>0866-2974130</t>
  </si>
  <si>
    <t>Re-evaluation</t>
  </si>
  <si>
    <t>Not allowed</t>
  </si>
  <si>
    <t>Malpractice rules</t>
  </si>
  <si>
    <t>Strict action as per GSEB rules</t>
  </si>
  <si>
    <t>JPG/JPEG, white background</t>
  </si>
  <si>
    <t>Black/Blue ink on white paper</t>
  </si>
  <si>
    <t>DOB verification, upload not required</t>
  </si>
  <si>
    <t>Passed/Appearing, upload during counselling</t>
  </si>
  <si>
    <t>Identity proof</t>
  </si>
  <si>
    <t>Original ID required on exam day</t>
  </si>
  <si>
    <t>Category/PwD certificates</t>
  </si>
  <si>
    <t>Required during counselling</t>
  </si>
  <si>
    <t>Partial payment</t>
  </si>
  <si>
    <t>Transaction failure</t>
  </si>
  <si>
    <t>As per payment gateway rules</t>
  </si>
  <si>
    <t>Exam session choice</t>
  </si>
  <si>
    <t>Program/Paper choice</t>
  </si>
  <si>
    <t>PCM / PCB</t>
  </si>
  <si>
    <t>Yes</t>
  </si>
  <si>
    <t>Language choice</t>
  </si>
  <si>
    <t>Gujarati / English / Hindi</t>
  </si>
  <si>
    <t>Contact</t>
  </si>
  <si>
    <t>https://www.gseb.org</t>
  </si>
  <si>
    <t>https://gujcet.gseb.org</t>
  </si>
  <si>
    <t>SRMJEEE 2025 — Complete Admission &amp; Exam Details</t>
  </si>
  <si>
    <t>KCET 2025 — Complete Admission &amp; Exam Details</t>
  </si>
  <si>
    <t>28 October 2024 (Session 1); 31 January 2025 (Session 2)</t>
  </si>
  <si>
    <t>Title</t>
  </si>
  <si>
    <t>AP EAPCET 2025 — Complete Admission &amp; Exam Details</t>
  </si>
  <si>
    <t>1) Key Dates</t>
  </si>
  <si>
    <t>22 November 2024 (Session 1); 24 February 2025 (Session 2)</t>
  </si>
  <si>
    <t>Phase I: Jan 10, 2025 | Phase II: Mar 28, 2025 | Phase III: Jun 8, 2025</t>
  </si>
  <si>
    <t>Notification Release</t>
  </si>
  <si>
    <t>16–18 March 2025</t>
  </si>
  <si>
    <t>Correction / edit window</t>
  </si>
  <si>
    <t>Session 1: 22, 23, 24, 28, 29 Jan 2025; Session 2: 2, 3, 4, 7, 8, 9 Apr 2025</t>
  </si>
  <si>
    <t>PCB: 22–30 April 2025 | PCM: 2–17 May 2025</t>
  </si>
  <si>
    <t>19 April 2025 to 30 April 2025</t>
  </si>
  <si>
    <t>Phase 1: 16 April 2025 | Phase 2: 6 June 2025 | Phase 3: 28 June 2025</t>
  </si>
  <si>
    <t>Phase I: Jan 19–24, 2025 | Phase II: Apr 3–7, 2025 | Phase III: Jun 22–26, 2025</t>
  </si>
  <si>
    <t>Application Last Date (Without Late Fee)</t>
  </si>
  <si>
    <t>Approx. 3 days before exam</t>
  </si>
  <si>
    <t>Late Application Window</t>
  </si>
  <si>
    <t>16–23 March 2025 (with late fee)</t>
  </si>
  <si>
    <t>Additional registration window</t>
  </si>
  <si>
    <t>Not officially notified separately</t>
  </si>
  <si>
    <t>Admit card</t>
  </si>
  <si>
    <t>Phase-wise, date not officially notified</t>
  </si>
  <si>
    <t>Late Fee Rs.1000 Last Date</t>
  </si>
  <si>
    <t>Maths: 16 April 2025 | Physics &amp; Chemistry: 17 April 2025 | Kannada Test: 18 April 2025</t>
  </si>
  <si>
    <t>Session 1: By 12 Feb 2025; Session 2: By 17–20 Apr 2025</t>
  </si>
  <si>
    <t>April 2025 (Exact date not notified)</t>
  </si>
  <si>
    <t>3 days before scheduled exam</t>
  </si>
  <si>
    <t>Phase 1: 19–21 April 2025 | Phase 2: 7–8 June 2025 | Phase 3: 5–6 July 2025</t>
  </si>
  <si>
    <t>Late Fee Rs.2000 Last Date</t>
  </si>
  <si>
    <t>Number of Sessions</t>
  </si>
  <si>
    <t>2 (January &amp; April)</t>
  </si>
  <si>
    <t>June 2025 (Exact date not notified)</t>
  </si>
  <si>
    <t>No separate late window</t>
  </si>
  <si>
    <t>Number of phases</t>
  </si>
  <si>
    <t>Late Fee Rs.4000 Last Date</t>
  </si>
  <si>
    <t>Computer Based Test (Online)</t>
  </si>
  <si>
    <t>Mode</t>
  </si>
  <si>
    <t>Computer-Based Test (CBT)</t>
  </si>
  <si>
    <t>Single phase</t>
  </si>
  <si>
    <t>3–5 days before each phase</t>
  </si>
  <si>
    <t>Online (CBT)</t>
  </si>
  <si>
    <t>Late Fee Rs.10000 Last Date</t>
  </si>
  <si>
    <t>3 hours</t>
  </si>
  <si>
    <t>180 minutes</t>
  </si>
  <si>
    <t>Phase-wise; exact dates not officially notified</t>
  </si>
  <si>
    <t>6 May 2025 to 8 May 2025</t>
  </si>
  <si>
    <t>2) Exam Structure &amp; Attempts</t>
  </si>
  <si>
    <t>English, Hindi, and regional languages</t>
  </si>
  <si>
    <t>English, Marathi, Urdu</t>
  </si>
  <si>
    <t>2 hours 30 minutes</t>
  </si>
  <si>
    <t>Sessions / phases</t>
  </si>
  <si>
    <t>Multiple (both sessions)</t>
  </si>
  <si>
    <t>No limit specified</t>
  </si>
  <si>
    <t>Up to 3</t>
  </si>
  <si>
    <t>Exam Dates (Agriculture &amp; Pharmacy)</t>
  </si>
  <si>
    <t>19 May 2025 to 20 May 2025</t>
  </si>
  <si>
    <t>Best Score Rule</t>
  </si>
  <si>
    <t>Best of two session scores</t>
  </si>
  <si>
    <t>One attempt per year</t>
  </si>
  <si>
    <t>Best score considered</t>
  </si>
  <si>
    <t>Exam Dates (Engineering)</t>
  </si>
  <si>
    <t>21 May 2025 to 27 May 2025</t>
  </si>
  <si>
    <t>Maths: 80 min | Physics: 60 min | Chemistry: 60 min</t>
  </si>
  <si>
    <t>Indian, NRI, OCI, Foreign Nationals</t>
  </si>
  <si>
    <t>No age limit</t>
  </si>
  <si>
    <t>Online (Remote Proctored CBT)</t>
  </si>
  <si>
    <t>Medium / language</t>
  </si>
  <si>
    <t>English &amp; Kannada</t>
  </si>
  <si>
    <t>Passed/Appearing HSC (Class 12)</t>
  </si>
  <si>
    <t>Indian / NRI / PIO / OCI / Foreign Nationals</t>
  </si>
  <si>
    <t>Born on or after 01 July 2003 (B.Tech)</t>
  </si>
  <si>
    <t>Passed Class 12 or equivalent</t>
  </si>
  <si>
    <t>Year of Passing</t>
  </si>
  <si>
    <t>2023, 2024, 2025</t>
  </si>
  <si>
    <t>Born on or after 1 July 2003</t>
  </si>
  <si>
    <t>10+2 passed / appearing</t>
  </si>
  <si>
    <t>2023, 2024, or 2025</t>
  </si>
  <si>
    <t>PCM Subjects</t>
  </si>
  <si>
    <t>Physics, Mathematics + optional subject</t>
  </si>
  <si>
    <t>Passed or appearing Class 12</t>
  </si>
  <si>
    <t>Up to 3 (one per phase)</t>
  </si>
  <si>
    <t>Subjects</t>
  </si>
  <si>
    <t>Physics, Chemistry, Mathematics</t>
  </si>
  <si>
    <t>3) Eligibility Criteria</t>
  </si>
  <si>
    <t>Subjects Required</t>
  </si>
  <si>
    <t>Physics, Mathematics, and one of Chemistry/Biology/Vocational</t>
  </si>
  <si>
    <t>PCB Subjects</t>
  </si>
  <si>
    <t>Physics, Chemistry + Biology/Maths</t>
  </si>
  <si>
    <t>Eligible passing years</t>
  </si>
  <si>
    <t>Passing year</t>
  </si>
  <si>
    <t>English &amp; Telugu (Urdu support at Kurnool)</t>
  </si>
  <si>
    <t>Fee Details</t>
  </si>
  <si>
    <t>General / OMS / EWS</t>
  </si>
  <si>
    <t>₹800</t>
  </si>
  <si>
    <t>Subject requirement</t>
  </si>
  <si>
    <t>Physics, Chemistry, Maths/Biology</t>
  </si>
  <si>
    <t>Application fee</t>
  </si>
  <si>
    <t>₹0 (No fee)</t>
  </si>
  <si>
    <t>Indian Nationals / OCI / PIO</t>
  </si>
  <si>
    <t>Reserved (MH)</t>
  </si>
  <si>
    <t>India centres</t>
  </si>
  <si>
    <t>₹1,350</t>
  </si>
  <si>
    <t>Minimum Age</t>
  </si>
  <si>
    <t>16 Years (Engineering &amp; Pharmacy)</t>
  </si>
  <si>
    <t>Passed / Appearing Class 12 or equivalent</t>
  </si>
  <si>
    <t>Category Reservation</t>
  </si>
  <si>
    <t>Yes, as per Govt of India norms</t>
  </si>
  <si>
    <t>USD 90</t>
  </si>
  <si>
    <t>Indian / NRI / PIO / OCI</t>
  </si>
  <si>
    <t>Category reservation</t>
  </si>
  <si>
    <t>Yes (as per KIIT norms)</t>
  </si>
  <si>
    <t>Passed / Appearing Class 12</t>
  </si>
  <si>
    <t>Year of passing eligibility</t>
  </si>
  <si>
    <t>2024 or 2025</t>
  </si>
  <si>
    <t>Yes (Maharashtra policy)</t>
  </si>
  <si>
    <t>No specific age limit</t>
  </si>
  <si>
    <t>PwD</t>
  </si>
  <si>
    <t>Applicable</t>
  </si>
  <si>
    <t>Qualifying Subjects (Engineering)</t>
  </si>
  <si>
    <t>Physics &amp; Mathematics compulsory</t>
  </si>
  <si>
    <t>Other Quotas</t>
  </si>
  <si>
    <t>Not officially notified</t>
  </si>
  <si>
    <t>PwD Criteria</t>
  </si>
  <si>
    <t>Minimum 40% disability</t>
  </si>
  <si>
    <t>Certificate upload</t>
  </si>
  <si>
    <t>During counselling</t>
  </si>
  <si>
    <t>Qualifying Subjects (Agriculture)</t>
  </si>
  <si>
    <t>As per official brochure</t>
  </si>
  <si>
    <t>Kannada Language Test for Horanadu/Gadinadu candidates</t>
  </si>
  <si>
    <t>Certificate Upload</t>
  </si>
  <si>
    <t>Application &amp; counselling stage</t>
  </si>
  <si>
    <t>Application &amp; CAP counselling</t>
  </si>
  <si>
    <t>PwD relaxation</t>
  </si>
  <si>
    <t>As per Government norms</t>
  </si>
  <si>
    <t>2024 or appearing in 2025</t>
  </si>
  <si>
    <t>JPG/JPEG, passport-size</t>
  </si>
  <si>
    <t>Qualifying Marks</t>
  </si>
  <si>
    <t>45% General, 40% Reserved</t>
  </si>
  <si>
    <t>4) Application Fees</t>
  </si>
  <si>
    <t>Rules &amp; Policies</t>
  </si>
  <si>
    <t>Score Normalization</t>
  </si>
  <si>
    <t>Applied across multiple shifts</t>
  </si>
  <si>
    <t>Photograph Size</t>
  </si>
  <si>
    <t>15–50 KB, JPG/JPEG</t>
  </si>
  <si>
    <t>Counselling</t>
  </si>
  <si>
    <t>Physics &amp; Mathematics + one optional subject</t>
  </si>
  <si>
    <t>JPG/JPEG, blue/black ink</t>
  </si>
  <si>
    <t>General Category Fee</t>
  </si>
  <si>
    <t>General / OBC (Karnataka)</t>
  </si>
  <si>
    <t>Not permitted</t>
  </si>
  <si>
    <t>Signature Size</t>
  </si>
  <si>
    <t>5–20 KB, JPG/JPEG</t>
  </si>
  <si>
    <t>JPEG, light background</t>
  </si>
  <si>
    <t>Direct admission for top rankers</t>
  </si>
  <si>
    <t>Not required at application</t>
  </si>
  <si>
    <t>BC Category Fee</t>
  </si>
  <si>
    <t>₹550</t>
  </si>
  <si>
    <t>SC / ST / Category-1 (Karnataka)</t>
  </si>
  <si>
    <t>Malpractice Policy</t>
  </si>
  <si>
    <t>As per NTA unfair means rules</t>
  </si>
  <si>
    <t>Class 10 Upload</t>
  </si>
  <si>
    <t>Not required</t>
  </si>
  <si>
    <t>JPEG, blue/black ink</t>
  </si>
  <si>
    <t>SC/ST Category Fee</t>
  </si>
  <si>
    <t>Outside Karnataka</t>
  </si>
  <si>
    <t>Recent passport size (details not notified)</t>
  </si>
  <si>
    <t>Class 12 Upload</t>
  </si>
  <si>
    <t>Class 10 marksheet</t>
  </si>
  <si>
    <t>Details entry only</t>
  </si>
  <si>
    <t>ID Proof</t>
  </si>
  <si>
    <t>Required on exam day</t>
  </si>
  <si>
    <t>Non-Refundable</t>
  </si>
  <si>
    <t>Black ink on white paper</t>
  </si>
  <si>
    <t>Card, Net Banking, UPI</t>
  </si>
  <si>
    <t>Class 12 marksheet</t>
  </si>
  <si>
    <t>₹1,200 per phase</t>
  </si>
  <si>
    <t>Payment mode</t>
  </si>
  <si>
    <t>Yes (As per AP Government norms)</t>
  </si>
  <si>
    <t>5) Reservation Rules</t>
  </si>
  <si>
    <t>ID proof</t>
  </si>
  <si>
    <t>Aadhaar / Passport / School ID</t>
  </si>
  <si>
    <t>USD 60 per phase</t>
  </si>
  <si>
    <t>Yes, as per Karnataka norms</t>
  </si>
  <si>
    <t>Passed/Appearing details</t>
  </si>
  <si>
    <t>Partial Payment</t>
  </si>
  <si>
    <t>As per State Policy</t>
  </si>
  <si>
    <t>Identity Proof</t>
  </si>
  <si>
    <t>Admit card + valid ID</t>
  </si>
  <si>
    <t>PCM / PCB / Both</t>
  </si>
  <si>
    <t>Category-based fees</t>
  </si>
  <si>
    <t>Phase selection</t>
  </si>
  <si>
    <t>Photograph Upload</t>
  </si>
  <si>
    <t>As per official user guide</t>
  </si>
  <si>
    <t>Defence, Sports, etc. as notified</t>
  </si>
  <si>
    <t>Category Certificate</t>
  </si>
  <si>
    <t>Required if claiming reservation</t>
  </si>
  <si>
    <t>Program choice</t>
  </si>
  <si>
    <t>Signature Upload</t>
  </si>
  <si>
    <t>Online (Net Banking, Card, UPI)</t>
  </si>
  <si>
    <t>English / Marathi / Urdu</t>
  </si>
  <si>
    <t>5) Reservation &amp; Relaxation</t>
  </si>
  <si>
    <t>Exam city</t>
  </si>
  <si>
    <t>Required</t>
  </si>
  <si>
    <t>6) Important Policies</t>
  </si>
  <si>
    <t>https://cetcell.mahacet.org</t>
  </si>
  <si>
    <t>Slot booking</t>
  </si>
  <si>
    <t>Based on availability</t>
  </si>
  <si>
    <t>No refund</t>
  </si>
  <si>
    <t>mahacetcell@gmail.com</t>
  </si>
  <si>
    <t>As per Govt. norms</t>
  </si>
  <si>
    <t>https://kiit.ac.in</t>
  </si>
  <si>
    <t>Aadhaar / Passport</t>
  </si>
  <si>
    <t>Limited; not notified</t>
  </si>
  <si>
    <t>Exam Session Choice</t>
  </si>
  <si>
    <t>Session 1 and/or Session 2</t>
  </si>
  <si>
    <t>https://viteee.vit.ac.in</t>
  </si>
  <si>
    <t>As per SRM counselling rules</t>
  </si>
  <si>
    <t>https://kiitee.kiit.ac.in</t>
  </si>
  <si>
    <t>Credit Card, Debit Card, Net Banking, AP/TS Online</t>
  </si>
  <si>
    <t>Normalization</t>
  </si>
  <si>
    <t>Paper 1 (BE/BTech), Paper 2 (BArch/BPlan)</t>
  </si>
  <si>
    <t>ugadmission@vit.ac.in</t>
  </si>
  <si>
    <t>kiitee@kiit.ac.in</t>
  </si>
  <si>
    <t>Not Allowed</t>
  </si>
  <si>
    <t>Tie-breaking</t>
  </si>
  <si>
    <t>KEA rules</t>
  </si>
  <si>
    <t>Multiple city preferences</t>
  </si>
  <si>
    <t>Selectable</t>
  </si>
  <si>
    <t>6) Important Rules</t>
  </si>
  <si>
    <t>English / Telugu</t>
  </si>
  <si>
    <t>Strict action including cancellation</t>
  </si>
  <si>
    <t>https://jeemain.nta.nic.in</t>
  </si>
  <si>
    <t>7) Documents</t>
  </si>
  <si>
    <t>Correction policy</t>
  </si>
  <si>
    <t>Limited edits before submission</t>
  </si>
  <si>
    <t>https://cets.apsche.ap.gov.in/EAPCET</t>
  </si>
  <si>
    <t>JPG/JPEG, light background</t>
  </si>
  <si>
    <t>Helpline Email</t>
  </si>
  <si>
    <t>JPG/JPEG, black/blue ink</t>
  </si>
  <si>
    <t>Helpline Number</t>
  </si>
  <si>
    <t>Malpractice policy</t>
  </si>
  <si>
    <t>Strict; candidature cancellation</t>
  </si>
  <si>
    <t>Helpline Numbers</t>
  </si>
  <si>
    <t>0884-2359599 / 0884-2342499</t>
  </si>
  <si>
    <t>7) Documents Required</t>
  </si>
  <si>
    <t>Aadhaar/School ID</t>
  </si>
  <si>
    <t>JPG/JPEG, up to 200 KB, light background</t>
  </si>
  <si>
    <t>Category certificates</t>
  </si>
  <si>
    <t>JPG/JPEG, up to 200 KB</t>
  </si>
  <si>
    <t>8) Payment Details</t>
  </si>
  <si>
    <t>Class 10 details</t>
  </si>
  <si>
    <t>Details only</t>
  </si>
  <si>
    <t>Debit/Credit Card, Net Banking, Challan</t>
  </si>
  <si>
    <t>GUJCET 2025 — Complete Admission &amp; Exam Details</t>
  </si>
  <si>
    <t>CUET (UG) 2025 — Complete Admission &amp; Exam Details</t>
  </si>
  <si>
    <t>SECTION</t>
  </si>
  <si>
    <t>FIELD</t>
  </si>
  <si>
    <t>DETAILS</t>
  </si>
  <si>
    <t>Class 12 details</t>
  </si>
  <si>
    <t>1. Key Dates</t>
  </si>
  <si>
    <t>Mandatory on exam day</t>
  </si>
  <si>
    <t>Transaction handling</t>
  </si>
  <si>
    <t>As per KEA rules</t>
  </si>
  <si>
    <t>9) Exam Preferences</t>
  </si>
  <si>
    <t>06 April 2025 to 08 April 2025</t>
  </si>
  <si>
    <t>Session-1: 20–24 May 2025; Session-2: 22–26 June 2025</t>
  </si>
  <si>
    <t>Card / Net banking / UPI</t>
  </si>
  <si>
    <t>15 May 2025 to 29 May 2025</t>
  </si>
  <si>
    <t>Additional registration (Session-2)</t>
  </si>
  <si>
    <t>22 May – 10 June 2025</t>
  </si>
  <si>
    <t>Program/paper choice</t>
  </si>
  <si>
    <t>PCM papers</t>
  </si>
  <si>
    <t>Session-1: From 15 May 2025; Session-2: From 19 June 2025</t>
  </si>
  <si>
    <t>Within Karnataka</t>
  </si>
  <si>
    <t>May 2025 (phase-wise)</t>
  </si>
  <si>
    <t>Immediately after exam</t>
  </si>
  <si>
    <t>English/Kannada</t>
  </si>
  <si>
    <t>Sessions</t>
  </si>
  <si>
    <t>10) Helpdesk</t>
  </si>
  <si>
    <t>2. Exam Structure &amp; Attempts</t>
  </si>
  <si>
    <t>Computer-Based Test (Online)</t>
  </si>
  <si>
    <t>https://kea.kar.nic.in</t>
  </si>
  <si>
    <t>Programme choice</t>
  </si>
  <si>
    <t>Number of sessions / phases</t>
  </si>
  <si>
    <t>45 min (Language/Domain), 60 min (General Test)</t>
  </si>
  <si>
    <t>keauthority-ka@nic.in</t>
  </si>
  <si>
    <t>Offline (Pen-and-Paper)</t>
  </si>
  <si>
    <t>13 Languages</t>
  </si>
  <si>
    <t>Maximum 2</t>
  </si>
  <si>
    <t>080-23460460</t>
  </si>
  <si>
    <t>3 hours (180 minutes)</t>
  </si>
  <si>
    <t>Best of two scores considered</t>
  </si>
  <si>
    <t>Indian &amp; Foreign Nationals</t>
  </si>
  <si>
    <t>10) Official Contact</t>
  </si>
  <si>
    <t>3. Eligibility Criteria</t>
  </si>
  <si>
    <t>Website</t>
  </si>
  <si>
    <t>https://www.srmist.edu</t>
  </si>
  <si>
    <t>Class 12 or equivalent</t>
  </si>
  <si>
    <t>https://applications.srmist.edu</t>
  </si>
  <si>
    <t>admissions.india@srmist.edu</t>
  </si>
  <si>
    <t>Class 12 passed / appearing</t>
  </si>
  <si>
    <t>Physics, Chemistry, Mathematics, English</t>
  </si>
  <si>
    <t>BITS campus students not eligible</t>
  </si>
  <si>
    <t>As per university/program</t>
  </si>
  <si>
    <t>Fees (Domestic)</t>
  </si>
  <si>
    <t>Male (one session)</t>
  </si>
  <si>
    <t>₹3,400</t>
  </si>
  <si>
    <t>Class 12 Science (Physics &amp; Chemistry with Mathematics or Biology)</t>
  </si>
  <si>
    <t>4. Application Fees (Domestic Centres)</t>
  </si>
  <si>
    <t>Female (one session)</t>
  </si>
  <si>
    <t>₹2,900</t>
  </si>
  <si>
    <t>2025 (passed or appearing)</t>
  </si>
  <si>
    <t>General (UR)</t>
  </si>
  <si>
    <t>₹1000 (2 subjects) + ₹400 each extra</t>
  </si>
  <si>
    <t>Male (both sessions)</t>
  </si>
  <si>
    <t>₹5,400</t>
  </si>
  <si>
    <t>Physics, Chemistry + Mathematics or Biology</t>
  </si>
  <si>
    <t>OBC-NCL / EWS</t>
  </si>
  <si>
    <t>₹900 (2 subjects) + ₹375 each extra</t>
  </si>
  <si>
    <t>Female (both sessions)</t>
  </si>
  <si>
    <t>₹4,400</t>
  </si>
  <si>
    <t>Special eligibility notes</t>
  </si>
  <si>
    <t>Gujarat domicile rules applicable</t>
  </si>
  <si>
    <t>SC/ST/PwD/Third Gender</t>
  </si>
  <si>
    <t>₹800 (2 subjects) + ₹350 each extra</t>
  </si>
  <si>
    <t>Fees (International)</t>
  </si>
  <si>
    <t>One session</t>
  </si>
  <si>
    <t>USD 220</t>
  </si>
  <si>
    <t>International Centres</t>
  </si>
  <si>
    <t>Both sessions</t>
  </si>
  <si>
    <t>USD 270</t>
  </si>
  <si>
    <t>All categories</t>
  </si>
  <si>
    <t>₹4500 (2 subjects) + ₹1800 each extra</t>
  </si>
  <si>
    <t>Uniform fee for all categories</t>
  </si>
  <si>
    <t>5. Reservation Rules</t>
  </si>
  <si>
    <t>≥40% disability</t>
  </si>
  <si>
    <t>₹350</t>
  </si>
  <si>
    <t>Reservation applicable</t>
  </si>
  <si>
    <t>Yes, as per Govt. norms</t>
  </si>
  <si>
    <t>Policies</t>
  </si>
  <si>
    <t>Refund</t>
  </si>
  <si>
    <t>6. Important Policies</t>
  </si>
  <si>
    <t>Malpractice</t>
  </si>
  <si>
    <t>Cancellation &amp; debarment</t>
  </si>
  <si>
    <t>5) Reservation / Relaxation Rules</t>
  </si>
  <si>
    <t>JPEG, passport size</t>
  </si>
  <si>
    <t>Yes (as per Gujarat state norms)</t>
  </si>
  <si>
    <t>JPEG, black/blue ink</t>
  </si>
  <si>
    <t>As per Government of Gujarat rules</t>
  </si>
  <si>
    <t>7. Documents Required</t>
  </si>
  <si>
    <t>JPG/JPEG, 10–200 KB</t>
  </si>
  <si>
    <t>Required during admission</t>
  </si>
  <si>
    <t>Counselling / verification</t>
  </si>
  <si>
    <t>JPG/JPEG, 4–30 KB</t>
  </si>
  <si>
    <t>Category certificate</t>
  </si>
  <si>
    <t>If applicable</t>
  </si>
  <si>
    <t>Modes</t>
  </si>
  <si>
    <t>Credit card, Debit card, Net banking</t>
  </si>
  <si>
    <t>6) Important Rules &amp; Policies</t>
  </si>
  <si>
    <t>8. Payment Details</t>
  </si>
  <si>
    <t>Application fee is non-refundable</t>
  </si>
  <si>
    <t>Allowed only if correction window is notified</t>
  </si>
  <si>
    <t>Session choice</t>
  </si>
  <si>
    <t>Session-1 / Session-2 / Both</t>
  </si>
  <si>
    <t>9. Exam Preferences</t>
  </si>
  <si>
    <t>Exam cities</t>
  </si>
  <si>
    <t>Up to 4 choices</t>
  </si>
  <si>
    <t>Re-evaluation policy</t>
  </si>
  <si>
    <t>Per paper</t>
  </si>
  <si>
    <t>As per GSEB examination norms</t>
  </si>
  <si>
    <t>10. Official Contact</t>
  </si>
  <si>
    <t>https://www.bitsadmission.com/bitsat</t>
  </si>
  <si>
    <t>https://cuet.nta.nic.in</t>
  </si>
  <si>
    <t>bitsat@pilani.bits-pilani.ac.in</t>
  </si>
  <si>
    <t>cuet-ug@nta.ac.in</t>
  </si>
  <si>
    <t>Passport-size, JPEG/JPG (details not notified)</t>
  </si>
  <si>
    <t>011-40759000 / 011-69227700</t>
  </si>
  <si>
    <t>Scanned signature in JPEG/JPG</t>
  </si>
  <si>
    <t>DOB verification (upload not notified)</t>
  </si>
  <si>
    <t>Passed/Appearing certificate</t>
  </si>
  <si>
    <t>Aadhaar / Govt ID / School ID</t>
  </si>
  <si>
    <t>Category / PwD certificate</t>
  </si>
  <si>
    <t>Required for reserved category candidates</t>
  </si>
  <si>
    <t>Credit Card, Debit Card, Net Banking, UPI, SBIePay</t>
  </si>
  <si>
    <t>Yes (SBIePay at SBI branches)</t>
  </si>
  <si>
    <t>Transaction failure handling</t>
  </si>
  <si>
    <t>As per portal instructions</t>
  </si>
  <si>
    <t>PCM or PCB</t>
  </si>
  <si>
    <t>Exam city preference</t>
  </si>
  <si>
    <t>Yes (district-wise)</t>
  </si>
  <si>
    <t>10) Helpdesk &amp; Official Links</t>
  </si>
  <si>
    <t>https://gujcet.gseb.org/</t>
  </si>
  <si>
    <t>Not officially published</t>
  </si>
  <si>
    <t>Helpline number</t>
  </si>
  <si>
    <t>11) Quick Checklist</t>
  </si>
  <si>
    <t>Checklist</t>
  </si>
  <si>
    <t>Apply on official portal, pay fee, upload documents, download admit card, carry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</si>
</sst>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mmmm yyyy"/>
    <numFmt numFmtId="166" formatCode="dd mmmm yyyy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1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tonline.karnataka.gov.in" TargetMode="External"/><Relationship Id="rId2" Type="http://schemas.openxmlformats.org/officeDocument/2006/relationships/hyperlink" Target="https://cetonline.karnataka.gov.in/onlineapp2026/forms/login.aspx" TargetMode="External"/><Relationship Id="rId3" Type="http://schemas.openxmlformats.org/officeDocument/2006/relationships/hyperlink" Target="https://www.bitsadmission.com" TargetMode="External"/><Relationship Id="rId4" Type="http://schemas.openxmlformats.org/officeDocument/2006/relationships/hyperlink" Target="https://cets.apsche.ap.gov.in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ujcet.gseb.org" TargetMode="External"/><Relationship Id="rId5" Type="http://schemas.openxmlformats.org/officeDocument/2006/relationships/hyperlink" Target="https://cuet.samarth.ac.in" TargetMode="External"/><Relationship Id="rId6" Type="http://schemas.openxmlformats.org/officeDocument/2006/relationships/hyperlink" Target="https://sche.ap.gov.in/EAPCET" TargetMode="External"/><Relationship Id="rId7" Type="http://schemas.openxmlformats.org/officeDocument/2006/relationships/hyperlink" Target="https://cuet.samarth.ac.in" TargetMode="External"/><Relationship Id="rId8" Type="http://schemas.openxmlformats.org/officeDocument/2006/relationships/hyperlink" Target="https://www.gseb.or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rmist.edu" TargetMode="External"/><Relationship Id="rId10" Type="http://schemas.openxmlformats.org/officeDocument/2006/relationships/hyperlink" Target="https://cetonline.karnataka.gov.in" TargetMode="External"/><Relationship Id="rId13" Type="http://schemas.openxmlformats.org/officeDocument/2006/relationships/hyperlink" Target="https://www.bitsadmission.com" TargetMode="External"/><Relationship Id="rId12" Type="http://schemas.openxmlformats.org/officeDocument/2006/relationships/hyperlink" Target="https://applications.srmist.edu" TargetMode="External"/><Relationship Id="rId1" Type="http://schemas.openxmlformats.org/officeDocument/2006/relationships/hyperlink" Target="https://cetcell.mahacet.org" TargetMode="External"/><Relationship Id="rId2" Type="http://schemas.openxmlformats.org/officeDocument/2006/relationships/hyperlink" Target="https://kiit.ac.in" TargetMode="External"/><Relationship Id="rId3" Type="http://schemas.openxmlformats.org/officeDocument/2006/relationships/hyperlink" Target="https://viteee.vit.ac.in" TargetMode="External"/><Relationship Id="rId4" Type="http://schemas.openxmlformats.org/officeDocument/2006/relationships/hyperlink" Target="https://kiitee.kiit.ac.in" TargetMode="External"/><Relationship Id="rId9" Type="http://schemas.openxmlformats.org/officeDocument/2006/relationships/hyperlink" Target="https://kea.kar.nic.in" TargetMode="External"/><Relationship Id="rId15" Type="http://schemas.openxmlformats.org/officeDocument/2006/relationships/hyperlink" Target="https://cuet.nta.nic.in" TargetMode="External"/><Relationship Id="rId14" Type="http://schemas.openxmlformats.org/officeDocument/2006/relationships/hyperlink" Target="https://www.bitsadmission.com/bitsat" TargetMode="External"/><Relationship Id="rId17" Type="http://schemas.openxmlformats.org/officeDocument/2006/relationships/hyperlink" Target="https://gujcet.gseb.org/" TargetMode="External"/><Relationship Id="rId16" Type="http://schemas.openxmlformats.org/officeDocument/2006/relationships/hyperlink" Target="https://gujcet.gseb.org/" TargetMode="External"/><Relationship Id="rId5" Type="http://schemas.openxmlformats.org/officeDocument/2006/relationships/hyperlink" Target="https://jeemain.nta.nic.in" TargetMode="External"/><Relationship Id="rId6" Type="http://schemas.openxmlformats.org/officeDocument/2006/relationships/hyperlink" Target="https://cets.apsche.ap.gov.in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jeemain.nta.nic.in" TargetMode="External"/><Relationship Id="rId8" Type="http://schemas.openxmlformats.org/officeDocument/2006/relationships/hyperlink" Target="https://cets.apsche.ap.gov.in/EAPC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1.5"/>
    <col customWidth="1" min="4" max="4" width="27.63"/>
    <col customWidth="1" min="5" max="5" width="51.5"/>
    <col customWidth="1" min="7" max="7" width="14.75"/>
    <col customWidth="1" min="8" max="8" width="17.13"/>
    <col customWidth="1" min="9" max="9" width="50.5"/>
    <col customWidth="1" min="11" max="11" width="13.38"/>
    <col customWidth="1" min="12" max="12" width="21.5"/>
    <col customWidth="1" min="13" max="13" width="33.25"/>
    <col customWidth="1" min="16" max="16" width="12.5"/>
    <col customWidth="1" min="17" max="17" width="21.5"/>
    <col customWidth="1" min="18" max="18" width="34.5"/>
  </cols>
  <sheetData>
    <row r="3">
      <c r="A3" s="1" t="s">
        <v>0</v>
      </c>
      <c r="B3" s="1" t="s">
        <v>1</v>
      </c>
      <c r="D3" s="1" t="s">
        <v>0</v>
      </c>
      <c r="E3" s="1" t="s">
        <v>1</v>
      </c>
      <c r="G3" s="2" t="s">
        <v>2</v>
      </c>
      <c r="H3" s="2" t="s">
        <v>0</v>
      </c>
      <c r="I3" s="2" t="s">
        <v>1</v>
      </c>
      <c r="K3" s="2" t="s">
        <v>2</v>
      </c>
      <c r="L3" s="2" t="s">
        <v>3</v>
      </c>
      <c r="M3" s="2" t="s">
        <v>1</v>
      </c>
      <c r="P3" s="2" t="s">
        <v>2</v>
      </c>
      <c r="Q3" s="2" t="s">
        <v>0</v>
      </c>
      <c r="R3" s="2" t="s">
        <v>1</v>
      </c>
    </row>
    <row r="4">
      <c r="A4" s="1" t="s">
        <v>4</v>
      </c>
      <c r="B4" s="1" t="s">
        <v>5</v>
      </c>
      <c r="D4" s="1" t="s">
        <v>4</v>
      </c>
      <c r="E4" s="1" t="s">
        <v>6</v>
      </c>
      <c r="G4" s="2" t="s">
        <v>7</v>
      </c>
      <c r="H4" s="2" t="s">
        <v>4</v>
      </c>
      <c r="I4" s="2" t="s">
        <v>8</v>
      </c>
      <c r="K4" s="2" t="s">
        <v>9</v>
      </c>
      <c r="L4" s="2" t="s">
        <v>10</v>
      </c>
      <c r="M4" s="2" t="s">
        <v>11</v>
      </c>
      <c r="P4" s="2" t="s">
        <v>9</v>
      </c>
      <c r="Q4" s="2" t="s">
        <v>10</v>
      </c>
      <c r="R4" s="2" t="s">
        <v>11</v>
      </c>
    </row>
    <row r="5">
      <c r="A5" s="1" t="s">
        <v>12</v>
      </c>
      <c r="B5" s="1" t="s">
        <v>13</v>
      </c>
      <c r="D5" s="1" t="s">
        <v>12</v>
      </c>
      <c r="E5" s="1" t="s">
        <v>13</v>
      </c>
      <c r="G5" s="2" t="s">
        <v>7</v>
      </c>
      <c r="H5" s="2" t="s">
        <v>14</v>
      </c>
      <c r="I5" s="2">
        <v>2026.0</v>
      </c>
      <c r="K5" s="2" t="s">
        <v>9</v>
      </c>
      <c r="L5" s="2" t="s">
        <v>15</v>
      </c>
      <c r="M5" s="2" t="s">
        <v>11</v>
      </c>
      <c r="P5" s="2" t="s">
        <v>9</v>
      </c>
      <c r="Q5" s="2" t="s">
        <v>15</v>
      </c>
      <c r="R5" s="2" t="s">
        <v>11</v>
      </c>
    </row>
    <row r="6">
      <c r="A6" s="1" t="s">
        <v>16</v>
      </c>
      <c r="B6" s="1" t="s">
        <v>11</v>
      </c>
      <c r="D6" s="1" t="s">
        <v>16</v>
      </c>
      <c r="E6" s="3">
        <v>46038.0</v>
      </c>
      <c r="G6" s="2" t="s">
        <v>7</v>
      </c>
      <c r="H6" s="2" t="s">
        <v>12</v>
      </c>
      <c r="I6" s="2" t="s">
        <v>13</v>
      </c>
      <c r="K6" s="2" t="s">
        <v>9</v>
      </c>
      <c r="L6" s="2" t="s">
        <v>17</v>
      </c>
      <c r="M6" s="2" t="s">
        <v>11</v>
      </c>
      <c r="P6" s="2" t="s">
        <v>9</v>
      </c>
      <c r="Q6" s="2" t="s">
        <v>17</v>
      </c>
      <c r="R6" s="2" t="s">
        <v>11</v>
      </c>
    </row>
    <row r="7">
      <c r="A7" s="1" t="s">
        <v>18</v>
      </c>
      <c r="B7" s="1" t="s">
        <v>11</v>
      </c>
      <c r="D7" s="1" t="s">
        <v>18</v>
      </c>
      <c r="E7" s="3">
        <v>46070.0</v>
      </c>
      <c r="G7" s="2" t="s">
        <v>9</v>
      </c>
      <c r="H7" s="2" t="s">
        <v>16</v>
      </c>
      <c r="I7" s="2" t="s">
        <v>11</v>
      </c>
      <c r="K7" s="2" t="s">
        <v>9</v>
      </c>
      <c r="L7" s="2" t="s">
        <v>19</v>
      </c>
      <c r="M7" s="2" t="s">
        <v>11</v>
      </c>
      <c r="P7" s="2" t="s">
        <v>9</v>
      </c>
      <c r="Q7" s="2" t="s">
        <v>20</v>
      </c>
      <c r="R7" s="2" t="s">
        <v>11</v>
      </c>
    </row>
    <row r="8">
      <c r="A8" s="1" t="s">
        <v>21</v>
      </c>
      <c r="B8" s="1" t="s">
        <v>11</v>
      </c>
      <c r="D8" s="1" t="s">
        <v>21</v>
      </c>
      <c r="E8" s="1" t="s">
        <v>11</v>
      </c>
      <c r="G8" s="2" t="s">
        <v>9</v>
      </c>
      <c r="H8" s="2" t="s">
        <v>18</v>
      </c>
      <c r="I8" s="2" t="s">
        <v>11</v>
      </c>
      <c r="K8" s="2" t="s">
        <v>9</v>
      </c>
      <c r="L8" s="2" t="s">
        <v>22</v>
      </c>
      <c r="M8" s="2" t="s">
        <v>11</v>
      </c>
      <c r="P8" s="2" t="s">
        <v>9</v>
      </c>
      <c r="Q8" s="2" t="s">
        <v>23</v>
      </c>
      <c r="R8" s="2" t="s">
        <v>11</v>
      </c>
    </row>
    <row r="9">
      <c r="A9" s="1" t="s">
        <v>24</v>
      </c>
      <c r="B9" s="1" t="s">
        <v>11</v>
      </c>
      <c r="D9" s="1" t="s">
        <v>24</v>
      </c>
      <c r="E9" s="1" t="s">
        <v>25</v>
      </c>
      <c r="G9" s="2" t="s">
        <v>9</v>
      </c>
      <c r="H9" s="2" t="s">
        <v>21</v>
      </c>
      <c r="I9" s="2" t="s">
        <v>11</v>
      </c>
      <c r="K9" s="2" t="s">
        <v>9</v>
      </c>
      <c r="L9" s="2" t="s">
        <v>26</v>
      </c>
      <c r="M9" s="2" t="s">
        <v>11</v>
      </c>
      <c r="P9" s="2" t="s">
        <v>9</v>
      </c>
      <c r="Q9" s="2" t="s">
        <v>22</v>
      </c>
      <c r="R9" s="2" t="s">
        <v>11</v>
      </c>
    </row>
    <row r="10">
      <c r="A10" s="1" t="s">
        <v>27</v>
      </c>
      <c r="B10" s="1" t="s">
        <v>11</v>
      </c>
      <c r="D10" s="1" t="s">
        <v>27</v>
      </c>
      <c r="E10" s="1" t="s">
        <v>11</v>
      </c>
      <c r="G10" s="2" t="s">
        <v>9</v>
      </c>
      <c r="H10" s="2" t="s">
        <v>24</v>
      </c>
      <c r="I10" s="2" t="s">
        <v>11</v>
      </c>
      <c r="K10" s="2" t="s">
        <v>28</v>
      </c>
      <c r="L10" s="2" t="s">
        <v>29</v>
      </c>
      <c r="M10" s="2" t="s">
        <v>11</v>
      </c>
      <c r="P10" s="2" t="s">
        <v>9</v>
      </c>
      <c r="Q10" s="2" t="s">
        <v>26</v>
      </c>
      <c r="R10" s="2" t="s">
        <v>11</v>
      </c>
    </row>
    <row r="11">
      <c r="A11" s="1" t="s">
        <v>30</v>
      </c>
      <c r="B11" s="1" t="s">
        <v>11</v>
      </c>
      <c r="D11" s="1" t="s">
        <v>30</v>
      </c>
      <c r="E11" s="1" t="s">
        <v>11</v>
      </c>
      <c r="G11" s="2" t="s">
        <v>9</v>
      </c>
      <c r="H11" s="2" t="s">
        <v>27</v>
      </c>
      <c r="I11" s="2" t="s">
        <v>11</v>
      </c>
      <c r="K11" s="2" t="s">
        <v>28</v>
      </c>
      <c r="L11" s="2" t="s">
        <v>31</v>
      </c>
      <c r="M11" s="2" t="s">
        <v>11</v>
      </c>
      <c r="P11" s="2" t="s">
        <v>28</v>
      </c>
      <c r="Q11" s="2" t="s">
        <v>31</v>
      </c>
      <c r="R11" s="2" t="s">
        <v>32</v>
      </c>
    </row>
    <row r="12">
      <c r="A12" s="1" t="s">
        <v>33</v>
      </c>
      <c r="B12" s="1" t="s">
        <v>34</v>
      </c>
      <c r="D12" s="1" t="s">
        <v>33</v>
      </c>
      <c r="E12" s="1" t="s">
        <v>35</v>
      </c>
      <c r="G12" s="2" t="s">
        <v>9</v>
      </c>
      <c r="H12" s="2" t="s">
        <v>30</v>
      </c>
      <c r="I12" s="2" t="s">
        <v>11</v>
      </c>
      <c r="K12" s="2" t="s">
        <v>28</v>
      </c>
      <c r="L12" s="2" t="s">
        <v>36</v>
      </c>
      <c r="M12" s="2" t="s">
        <v>11</v>
      </c>
      <c r="P12" s="2" t="s">
        <v>28</v>
      </c>
      <c r="Q12" s="2" t="s">
        <v>29</v>
      </c>
      <c r="R12" s="2" t="s">
        <v>37</v>
      </c>
    </row>
    <row r="13">
      <c r="A13" s="1" t="s">
        <v>36</v>
      </c>
      <c r="B13" s="1" t="s">
        <v>38</v>
      </c>
      <c r="D13" s="1" t="s">
        <v>39</v>
      </c>
      <c r="E13" s="1" t="s">
        <v>40</v>
      </c>
      <c r="G13" s="2" t="s">
        <v>28</v>
      </c>
      <c r="H13" s="2" t="s">
        <v>33</v>
      </c>
      <c r="I13" s="2" t="s">
        <v>34</v>
      </c>
      <c r="K13" s="2" t="s">
        <v>28</v>
      </c>
      <c r="L13" s="2" t="s">
        <v>41</v>
      </c>
      <c r="M13" s="2" t="s">
        <v>11</v>
      </c>
      <c r="P13" s="2" t="s">
        <v>28</v>
      </c>
      <c r="Q13" s="2" t="s">
        <v>36</v>
      </c>
      <c r="R13" s="2" t="s">
        <v>42</v>
      </c>
    </row>
    <row r="14">
      <c r="A14" s="1" t="s">
        <v>43</v>
      </c>
      <c r="B14" s="1" t="s">
        <v>44</v>
      </c>
      <c r="D14" s="1" t="s">
        <v>45</v>
      </c>
      <c r="E14" s="1" t="s">
        <v>46</v>
      </c>
      <c r="G14" s="2" t="s">
        <v>28</v>
      </c>
      <c r="H14" s="2" t="s">
        <v>36</v>
      </c>
      <c r="I14" s="2" t="s">
        <v>38</v>
      </c>
      <c r="K14" s="2" t="s">
        <v>28</v>
      </c>
      <c r="L14" s="2" t="s">
        <v>47</v>
      </c>
      <c r="M14" s="2" t="s">
        <v>11</v>
      </c>
      <c r="P14" s="2" t="s">
        <v>28</v>
      </c>
      <c r="Q14" s="2" t="s">
        <v>48</v>
      </c>
      <c r="R14" s="2" t="s">
        <v>49</v>
      </c>
    </row>
    <row r="15">
      <c r="A15" s="1" t="s">
        <v>50</v>
      </c>
      <c r="B15" s="1" t="s">
        <v>11</v>
      </c>
      <c r="D15" s="1" t="s">
        <v>51</v>
      </c>
      <c r="E15" s="1" t="s">
        <v>52</v>
      </c>
      <c r="G15" s="2" t="s">
        <v>28</v>
      </c>
      <c r="H15" s="2" t="s">
        <v>53</v>
      </c>
      <c r="I15" s="2" t="s">
        <v>54</v>
      </c>
      <c r="K15" s="2" t="s">
        <v>45</v>
      </c>
      <c r="L15" s="2" t="s">
        <v>55</v>
      </c>
      <c r="M15" s="2" t="s">
        <v>56</v>
      </c>
      <c r="P15" s="2" t="s">
        <v>28</v>
      </c>
      <c r="Q15" s="2" t="s">
        <v>47</v>
      </c>
      <c r="R15" s="2" t="s">
        <v>57</v>
      </c>
    </row>
    <row r="16">
      <c r="A16" s="1" t="s">
        <v>55</v>
      </c>
      <c r="B16" s="1" t="s">
        <v>58</v>
      </c>
      <c r="D16" s="1" t="s">
        <v>59</v>
      </c>
      <c r="E16" s="1" t="s">
        <v>60</v>
      </c>
      <c r="G16" s="2" t="s">
        <v>28</v>
      </c>
      <c r="H16" s="2" t="s">
        <v>50</v>
      </c>
      <c r="I16" s="2" t="s">
        <v>57</v>
      </c>
      <c r="K16" s="2" t="s">
        <v>45</v>
      </c>
      <c r="L16" s="2" t="s">
        <v>61</v>
      </c>
      <c r="M16" s="2" t="s">
        <v>11</v>
      </c>
      <c r="P16" s="2" t="s">
        <v>28</v>
      </c>
      <c r="Q16" s="2" t="s">
        <v>62</v>
      </c>
      <c r="R16" s="2" t="s">
        <v>63</v>
      </c>
    </row>
    <row r="17">
      <c r="A17" s="1" t="s">
        <v>64</v>
      </c>
      <c r="B17" s="1" t="s">
        <v>65</v>
      </c>
      <c r="D17" s="1" t="s">
        <v>66</v>
      </c>
      <c r="E17" s="1" t="s">
        <v>67</v>
      </c>
      <c r="G17" s="2" t="s">
        <v>45</v>
      </c>
      <c r="H17" s="2" t="s">
        <v>55</v>
      </c>
      <c r="I17" s="2" t="s">
        <v>58</v>
      </c>
      <c r="K17" s="2" t="s">
        <v>45</v>
      </c>
      <c r="L17" s="2" t="s">
        <v>68</v>
      </c>
      <c r="M17" s="2" t="s">
        <v>69</v>
      </c>
      <c r="P17" s="2" t="s">
        <v>45</v>
      </c>
      <c r="Q17" s="2" t="s">
        <v>55</v>
      </c>
      <c r="R17" s="2" t="s">
        <v>58</v>
      </c>
    </row>
    <row r="18">
      <c r="A18" s="1" t="s">
        <v>70</v>
      </c>
      <c r="B18" s="1" t="s">
        <v>71</v>
      </c>
      <c r="D18" s="1" t="s">
        <v>72</v>
      </c>
      <c r="E18" s="1" t="s">
        <v>73</v>
      </c>
      <c r="G18" s="2" t="s">
        <v>45</v>
      </c>
      <c r="H18" s="2" t="s">
        <v>74</v>
      </c>
      <c r="I18" s="2" t="s">
        <v>75</v>
      </c>
      <c r="K18" s="2" t="s">
        <v>45</v>
      </c>
      <c r="L18" s="2" t="s">
        <v>76</v>
      </c>
      <c r="M18" s="2" t="s">
        <v>11</v>
      </c>
      <c r="P18" s="2" t="s">
        <v>45</v>
      </c>
      <c r="Q18" s="2" t="s">
        <v>61</v>
      </c>
      <c r="R18" s="2" t="s">
        <v>77</v>
      </c>
    </row>
    <row r="19">
      <c r="A19" s="1" t="s">
        <v>78</v>
      </c>
      <c r="B19" s="1" t="s">
        <v>11</v>
      </c>
      <c r="D19" s="1" t="s">
        <v>79</v>
      </c>
      <c r="E19" s="1" t="s">
        <v>80</v>
      </c>
      <c r="G19" s="2" t="s">
        <v>45</v>
      </c>
      <c r="H19" s="2" t="s">
        <v>81</v>
      </c>
      <c r="I19" s="2" t="s">
        <v>82</v>
      </c>
      <c r="K19" s="2" t="s">
        <v>83</v>
      </c>
      <c r="L19" s="2" t="s">
        <v>84</v>
      </c>
      <c r="M19" s="2" t="s">
        <v>11</v>
      </c>
      <c r="P19" s="2" t="s">
        <v>45</v>
      </c>
      <c r="Q19" s="2" t="s">
        <v>68</v>
      </c>
      <c r="R19" s="2" t="s">
        <v>85</v>
      </c>
    </row>
    <row r="20">
      <c r="A20" s="1" t="s">
        <v>86</v>
      </c>
      <c r="B20" s="1" t="s">
        <v>11</v>
      </c>
      <c r="D20" s="1" t="s">
        <v>87</v>
      </c>
      <c r="E20" s="4" t="s">
        <v>88</v>
      </c>
      <c r="G20" s="2" t="s">
        <v>45</v>
      </c>
      <c r="H20" s="2" t="s">
        <v>89</v>
      </c>
      <c r="I20" s="2" t="s">
        <v>90</v>
      </c>
      <c r="K20" s="2" t="s">
        <v>83</v>
      </c>
      <c r="L20" s="2" t="s">
        <v>91</v>
      </c>
      <c r="M20" s="2" t="s">
        <v>11</v>
      </c>
      <c r="P20" s="2" t="s">
        <v>45</v>
      </c>
      <c r="Q20" s="2" t="s">
        <v>76</v>
      </c>
      <c r="R20" s="2" t="s">
        <v>92</v>
      </c>
    </row>
    <row r="21">
      <c r="A21" s="1" t="s">
        <v>93</v>
      </c>
      <c r="B21" s="1" t="s">
        <v>11</v>
      </c>
      <c r="D21" s="2" t="s">
        <v>94</v>
      </c>
      <c r="E21" s="5" t="s">
        <v>95</v>
      </c>
      <c r="G21" s="2" t="s">
        <v>96</v>
      </c>
      <c r="H21" s="2" t="s">
        <v>97</v>
      </c>
      <c r="I21" s="2" t="s">
        <v>98</v>
      </c>
      <c r="K21" s="2" t="s">
        <v>83</v>
      </c>
      <c r="L21" s="2" t="s">
        <v>99</v>
      </c>
      <c r="M21" s="2" t="s">
        <v>11</v>
      </c>
      <c r="P21" s="2" t="s">
        <v>45</v>
      </c>
      <c r="Q21" s="2" t="s">
        <v>100</v>
      </c>
      <c r="R21" s="2" t="s">
        <v>101</v>
      </c>
    </row>
    <row r="22">
      <c r="A22" s="1" t="s">
        <v>102</v>
      </c>
      <c r="B22" s="1" t="s">
        <v>103</v>
      </c>
      <c r="G22" s="2" t="s">
        <v>96</v>
      </c>
      <c r="H22" s="2" t="s">
        <v>104</v>
      </c>
      <c r="I22" s="2" t="s">
        <v>52</v>
      </c>
      <c r="K22" s="2" t="s">
        <v>79</v>
      </c>
      <c r="L22" s="2" t="s">
        <v>105</v>
      </c>
      <c r="M22" s="2" t="s">
        <v>106</v>
      </c>
      <c r="P22" s="2" t="s">
        <v>45</v>
      </c>
      <c r="Q22" s="2" t="s">
        <v>107</v>
      </c>
      <c r="R22" s="2" t="s">
        <v>108</v>
      </c>
    </row>
    <row r="23">
      <c r="A23" s="1" t="s">
        <v>109</v>
      </c>
      <c r="B23" s="1" t="s">
        <v>110</v>
      </c>
      <c r="G23" s="2" t="s">
        <v>96</v>
      </c>
      <c r="H23" s="2" t="s">
        <v>93</v>
      </c>
      <c r="I23" s="2" t="s">
        <v>111</v>
      </c>
      <c r="K23" s="2" t="s">
        <v>79</v>
      </c>
      <c r="L23" s="2" t="s">
        <v>112</v>
      </c>
      <c r="M23" s="2" t="s">
        <v>11</v>
      </c>
      <c r="P23" s="2" t="s">
        <v>113</v>
      </c>
      <c r="Q23" s="2" t="s">
        <v>114</v>
      </c>
      <c r="R23" s="2" t="s">
        <v>115</v>
      </c>
    </row>
    <row r="24">
      <c r="A24" s="1" t="s">
        <v>116</v>
      </c>
      <c r="B24" s="1" t="s">
        <v>117</v>
      </c>
      <c r="G24" s="2" t="s">
        <v>118</v>
      </c>
      <c r="H24" s="2" t="s">
        <v>119</v>
      </c>
      <c r="I24" s="2" t="s">
        <v>120</v>
      </c>
      <c r="K24" s="2" t="s">
        <v>118</v>
      </c>
      <c r="L24" s="2" t="s">
        <v>121</v>
      </c>
      <c r="M24" s="2" t="s">
        <v>11</v>
      </c>
      <c r="P24" s="2" t="s">
        <v>113</v>
      </c>
      <c r="Q24" s="2" t="s">
        <v>122</v>
      </c>
      <c r="R24" s="2" t="s">
        <v>111</v>
      </c>
    </row>
    <row r="25">
      <c r="A25" s="1" t="s">
        <v>123</v>
      </c>
      <c r="B25" s="1" t="s">
        <v>117</v>
      </c>
      <c r="G25" s="2" t="s">
        <v>118</v>
      </c>
      <c r="H25" s="2" t="s">
        <v>124</v>
      </c>
      <c r="I25" s="2" t="s">
        <v>125</v>
      </c>
      <c r="K25" s="2" t="s">
        <v>118</v>
      </c>
      <c r="L25" s="2" t="s">
        <v>126</v>
      </c>
      <c r="M25" s="2" t="s">
        <v>11</v>
      </c>
      <c r="P25" s="2" t="s">
        <v>113</v>
      </c>
      <c r="Q25" s="2" t="s">
        <v>127</v>
      </c>
      <c r="R25" s="2" t="s">
        <v>11</v>
      </c>
    </row>
    <row r="26">
      <c r="A26" s="1" t="s">
        <v>128</v>
      </c>
      <c r="B26" s="1" t="s">
        <v>129</v>
      </c>
      <c r="G26" s="2" t="s">
        <v>118</v>
      </c>
      <c r="H26" s="2" t="s">
        <v>130</v>
      </c>
      <c r="I26" s="2" t="s">
        <v>131</v>
      </c>
      <c r="K26" s="2" t="s">
        <v>118</v>
      </c>
      <c r="L26" s="2" t="s">
        <v>132</v>
      </c>
      <c r="M26" s="2" t="s">
        <v>133</v>
      </c>
      <c r="P26" s="2" t="s">
        <v>113</v>
      </c>
      <c r="Q26" s="2" t="s">
        <v>91</v>
      </c>
      <c r="R26" s="2" t="s">
        <v>63</v>
      </c>
    </row>
    <row r="27">
      <c r="A27" s="1" t="s">
        <v>134</v>
      </c>
      <c r="B27" s="1" t="s">
        <v>135</v>
      </c>
      <c r="G27" s="2" t="s">
        <v>118</v>
      </c>
      <c r="H27" s="2" t="s">
        <v>136</v>
      </c>
      <c r="I27" s="2" t="s">
        <v>137</v>
      </c>
      <c r="K27" s="2" t="s">
        <v>118</v>
      </c>
      <c r="L27" s="2" t="s">
        <v>138</v>
      </c>
      <c r="M27" s="2" t="s">
        <v>139</v>
      </c>
      <c r="P27" s="2" t="s">
        <v>79</v>
      </c>
      <c r="Q27" s="2" t="s">
        <v>105</v>
      </c>
      <c r="R27" s="2" t="s">
        <v>140</v>
      </c>
    </row>
    <row r="28">
      <c r="A28" s="1" t="s">
        <v>141</v>
      </c>
      <c r="B28" s="1" t="s">
        <v>142</v>
      </c>
      <c r="G28" s="2" t="s">
        <v>118</v>
      </c>
      <c r="H28" s="2" t="s">
        <v>143</v>
      </c>
      <c r="I28" s="2" t="s">
        <v>144</v>
      </c>
      <c r="K28" s="2" t="s">
        <v>145</v>
      </c>
      <c r="L28" s="2" t="s">
        <v>146</v>
      </c>
      <c r="M28" s="2" t="s">
        <v>11</v>
      </c>
      <c r="P28" s="2" t="s">
        <v>79</v>
      </c>
      <c r="Q28" s="2" t="s">
        <v>112</v>
      </c>
      <c r="R28" s="2" t="s">
        <v>147</v>
      </c>
    </row>
    <row r="29">
      <c r="A29" s="1" t="s">
        <v>148</v>
      </c>
      <c r="B29" s="1" t="s">
        <v>149</v>
      </c>
      <c r="G29" s="2" t="s">
        <v>150</v>
      </c>
      <c r="H29" s="2" t="s">
        <v>151</v>
      </c>
      <c r="I29" s="2" t="s">
        <v>152</v>
      </c>
      <c r="K29" s="2" t="s">
        <v>145</v>
      </c>
      <c r="L29" s="2" t="s">
        <v>153</v>
      </c>
      <c r="M29" s="2" t="s">
        <v>11</v>
      </c>
      <c r="P29" s="2" t="s">
        <v>79</v>
      </c>
      <c r="Q29" s="2" t="s">
        <v>154</v>
      </c>
      <c r="R29" s="2" t="s">
        <v>155</v>
      </c>
    </row>
    <row r="30">
      <c r="A30" s="1" t="s">
        <v>87</v>
      </c>
      <c r="B30" s="4" t="s">
        <v>156</v>
      </c>
      <c r="G30" s="2" t="s">
        <v>150</v>
      </c>
      <c r="H30" s="2" t="s">
        <v>157</v>
      </c>
      <c r="I30" s="2" t="s">
        <v>158</v>
      </c>
      <c r="K30" s="2" t="s">
        <v>159</v>
      </c>
      <c r="L30" s="2" t="s">
        <v>160</v>
      </c>
      <c r="M30" s="2" t="s">
        <v>11</v>
      </c>
      <c r="P30" s="2" t="s">
        <v>79</v>
      </c>
      <c r="Q30" s="2" t="s">
        <v>161</v>
      </c>
      <c r="R30" s="2" t="s">
        <v>162</v>
      </c>
    </row>
    <row r="31">
      <c r="G31" s="2" t="s">
        <v>150</v>
      </c>
      <c r="H31" s="2" t="s">
        <v>163</v>
      </c>
      <c r="I31" s="2" t="s">
        <v>164</v>
      </c>
      <c r="K31" s="2" t="s">
        <v>159</v>
      </c>
      <c r="L31" s="2" t="s">
        <v>165</v>
      </c>
      <c r="M31" s="2" t="s">
        <v>11</v>
      </c>
      <c r="P31" s="2" t="s">
        <v>166</v>
      </c>
      <c r="Q31" s="2" t="s">
        <v>99</v>
      </c>
      <c r="R31" s="2" t="s">
        <v>111</v>
      </c>
    </row>
    <row r="32">
      <c r="G32" s="2" t="s">
        <v>167</v>
      </c>
      <c r="H32" s="2" t="s">
        <v>87</v>
      </c>
      <c r="I32" s="6" t="s">
        <v>168</v>
      </c>
      <c r="K32" s="2" t="s">
        <v>169</v>
      </c>
      <c r="L32" s="2" t="s">
        <v>170</v>
      </c>
      <c r="M32" s="6" t="s">
        <v>171</v>
      </c>
      <c r="P32" s="2" t="s">
        <v>166</v>
      </c>
      <c r="Q32" s="2" t="s">
        <v>172</v>
      </c>
      <c r="R32" s="2" t="s">
        <v>173</v>
      </c>
    </row>
    <row r="33">
      <c r="G33" s="2" t="s">
        <v>167</v>
      </c>
      <c r="H33" s="2" t="s">
        <v>174</v>
      </c>
      <c r="I33" s="6" t="s">
        <v>175</v>
      </c>
      <c r="K33" s="2" t="s">
        <v>169</v>
      </c>
      <c r="L33" s="2" t="s">
        <v>176</v>
      </c>
      <c r="M33" s="6" t="s">
        <v>171</v>
      </c>
      <c r="P33" s="2" t="s">
        <v>166</v>
      </c>
      <c r="Q33" s="2" t="s">
        <v>177</v>
      </c>
      <c r="R33" s="2" t="s">
        <v>63</v>
      </c>
    </row>
    <row r="34">
      <c r="G34" s="2" t="s">
        <v>167</v>
      </c>
      <c r="H34" s="2" t="s">
        <v>178</v>
      </c>
      <c r="I34" s="2" t="s">
        <v>179</v>
      </c>
      <c r="P34" s="2" t="s">
        <v>166</v>
      </c>
      <c r="Q34" s="2" t="s">
        <v>180</v>
      </c>
      <c r="R34" s="2" t="s">
        <v>11</v>
      </c>
    </row>
    <row r="35">
      <c r="G35" s="2" t="s">
        <v>167</v>
      </c>
      <c r="H35" s="2" t="s">
        <v>181</v>
      </c>
      <c r="I35" s="2" t="s">
        <v>182</v>
      </c>
      <c r="P35" s="2" t="s">
        <v>166</v>
      </c>
      <c r="Q35" s="2" t="s">
        <v>183</v>
      </c>
      <c r="R35" s="2" t="s">
        <v>184</v>
      </c>
    </row>
    <row r="36">
      <c r="P36" s="2" t="s">
        <v>166</v>
      </c>
      <c r="Q36" s="2" t="s">
        <v>185</v>
      </c>
      <c r="R36" s="2" t="s">
        <v>186</v>
      </c>
    </row>
    <row r="37">
      <c r="P37" s="2" t="s">
        <v>118</v>
      </c>
      <c r="Q37" s="2" t="s">
        <v>119</v>
      </c>
      <c r="R37" s="2" t="s">
        <v>187</v>
      </c>
    </row>
    <row r="38">
      <c r="P38" s="2" t="s">
        <v>118</v>
      </c>
      <c r="Q38" s="2" t="s">
        <v>124</v>
      </c>
      <c r="R38" s="2" t="s">
        <v>188</v>
      </c>
    </row>
    <row r="39">
      <c r="P39" s="2" t="s">
        <v>118</v>
      </c>
      <c r="Q39" s="2" t="s">
        <v>132</v>
      </c>
      <c r="R39" s="2" t="s">
        <v>189</v>
      </c>
    </row>
    <row r="40">
      <c r="P40" s="2" t="s">
        <v>118</v>
      </c>
      <c r="Q40" s="2" t="s">
        <v>138</v>
      </c>
      <c r="R40" s="2" t="s">
        <v>190</v>
      </c>
    </row>
    <row r="41">
      <c r="P41" s="2" t="s">
        <v>118</v>
      </c>
      <c r="Q41" s="2" t="s">
        <v>191</v>
      </c>
      <c r="R41" s="2" t="s">
        <v>192</v>
      </c>
    </row>
    <row r="42">
      <c r="P42" s="2" t="s">
        <v>118</v>
      </c>
      <c r="Q42" s="2" t="s">
        <v>193</v>
      </c>
      <c r="R42" s="2" t="s">
        <v>194</v>
      </c>
    </row>
    <row r="43">
      <c r="P43" s="2" t="s">
        <v>145</v>
      </c>
      <c r="Q43" s="2" t="s">
        <v>146</v>
      </c>
      <c r="R43" s="2" t="s">
        <v>142</v>
      </c>
    </row>
    <row r="44">
      <c r="P44" s="2" t="s">
        <v>145</v>
      </c>
      <c r="Q44" s="2" t="s">
        <v>153</v>
      </c>
      <c r="R44" s="2" t="s">
        <v>184</v>
      </c>
    </row>
    <row r="45">
      <c r="P45" s="2" t="s">
        <v>145</v>
      </c>
      <c r="Q45" s="2" t="s">
        <v>195</v>
      </c>
      <c r="R45" s="2" t="s">
        <v>184</v>
      </c>
    </row>
    <row r="46">
      <c r="P46" s="2" t="s">
        <v>145</v>
      </c>
      <c r="Q46" s="2" t="s">
        <v>196</v>
      </c>
      <c r="R46" s="2" t="s">
        <v>197</v>
      </c>
    </row>
    <row r="47">
      <c r="P47" s="2" t="s">
        <v>159</v>
      </c>
      <c r="Q47" s="2" t="s">
        <v>198</v>
      </c>
      <c r="R47" s="2" t="s">
        <v>63</v>
      </c>
    </row>
    <row r="48">
      <c r="P48" s="2" t="s">
        <v>159</v>
      </c>
      <c r="Q48" s="2" t="s">
        <v>199</v>
      </c>
      <c r="R48" s="2" t="s">
        <v>200</v>
      </c>
    </row>
    <row r="49">
      <c r="P49" s="2" t="s">
        <v>159</v>
      </c>
      <c r="Q49" s="2" t="s">
        <v>160</v>
      </c>
      <c r="R49" s="2" t="s">
        <v>201</v>
      </c>
    </row>
    <row r="50">
      <c r="P50" s="2" t="s">
        <v>159</v>
      </c>
      <c r="Q50" s="2" t="s">
        <v>202</v>
      </c>
      <c r="R50" s="2" t="s">
        <v>203</v>
      </c>
    </row>
    <row r="51">
      <c r="P51" s="2" t="s">
        <v>204</v>
      </c>
      <c r="Q51" s="2" t="s">
        <v>170</v>
      </c>
      <c r="R51" s="6" t="s">
        <v>205</v>
      </c>
    </row>
    <row r="52">
      <c r="P52" s="2" t="s">
        <v>204</v>
      </c>
      <c r="Q52" s="2" t="s">
        <v>176</v>
      </c>
      <c r="R52" s="6" t="s">
        <v>206</v>
      </c>
    </row>
    <row r="53">
      <c r="P53" s="2" t="s">
        <v>204</v>
      </c>
      <c r="Q53" s="2" t="s">
        <v>178</v>
      </c>
      <c r="R53" s="2" t="s">
        <v>11</v>
      </c>
    </row>
    <row r="54">
      <c r="P54" s="2" t="s">
        <v>204</v>
      </c>
      <c r="Q54" s="2" t="s">
        <v>181</v>
      </c>
      <c r="R54" s="2" t="s">
        <v>11</v>
      </c>
    </row>
  </sheetData>
  <hyperlinks>
    <hyperlink r:id="rId1" ref="E20"/>
    <hyperlink r:id="rId2" ref="E21"/>
    <hyperlink r:id="rId3" ref="B30"/>
    <hyperlink r:id="rId4" ref="I32"/>
    <hyperlink r:id="rId5" ref="M32"/>
    <hyperlink r:id="rId6" ref="I33"/>
    <hyperlink r:id="rId7" ref="M33"/>
    <hyperlink r:id="rId8" ref="R51"/>
    <hyperlink r:id="rId9" ref="R5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3.88"/>
    <col customWidth="1" min="3" max="3" width="54.38"/>
    <col customWidth="1" min="4" max="4" width="42.25"/>
    <col customWidth="1" min="5" max="5" width="38.0"/>
    <col customWidth="1" min="6" max="6" width="19.63"/>
    <col customWidth="1" min="7" max="7" width="35.0"/>
    <col customWidth="1" min="8" max="8" width="26.13"/>
    <col customWidth="1" min="9" max="9" width="45.88"/>
    <col customWidth="1" min="10" max="10" width="23.0"/>
    <col customWidth="1" min="11" max="11" width="32.88"/>
    <col customWidth="1" min="13" max="13" width="41.13"/>
    <col customWidth="1" min="14" max="14" width="57.88"/>
    <col customWidth="1" min="16" max="16" width="12.38"/>
    <col customWidth="1" min="17" max="17" width="17.0"/>
    <col customWidth="1" min="18" max="18" width="59.0"/>
    <col customWidth="1" min="20" max="20" width="14.13"/>
    <col customWidth="1" min="21" max="21" width="31.0"/>
    <col customWidth="1" min="22" max="22" width="42.5"/>
    <col customWidth="1" min="24" max="24" width="38.13"/>
    <col customWidth="1" min="25" max="25" width="66.25"/>
  </cols>
  <sheetData>
    <row r="2">
      <c r="A2" s="1" t="s">
        <v>2</v>
      </c>
      <c r="B2" s="1" t="s">
        <v>0</v>
      </c>
      <c r="C2" s="1" t="s">
        <v>1</v>
      </c>
      <c r="E2" s="1" t="s">
        <v>2</v>
      </c>
      <c r="F2" s="1" t="s">
        <v>0</v>
      </c>
      <c r="G2" s="1" t="s">
        <v>1</v>
      </c>
      <c r="I2" s="2" t="s">
        <v>2</v>
      </c>
      <c r="J2" s="2" t="s">
        <v>0</v>
      </c>
      <c r="K2" s="2" t="s">
        <v>1</v>
      </c>
      <c r="M2" s="1" t="s">
        <v>207</v>
      </c>
      <c r="N2" s="7"/>
      <c r="P2" s="1" t="s">
        <v>2</v>
      </c>
      <c r="Q2" s="1" t="s">
        <v>0</v>
      </c>
      <c r="R2" s="1" t="s">
        <v>1</v>
      </c>
      <c r="T2" s="1" t="s">
        <v>2</v>
      </c>
      <c r="U2" s="1" t="s">
        <v>0</v>
      </c>
      <c r="V2" s="1" t="s">
        <v>1</v>
      </c>
      <c r="X2" s="1" t="s">
        <v>208</v>
      </c>
      <c r="Y2" s="7"/>
    </row>
    <row r="3">
      <c r="A3" s="1" t="s">
        <v>9</v>
      </c>
      <c r="B3" s="1" t="s">
        <v>16</v>
      </c>
      <c r="C3" s="1" t="s">
        <v>209</v>
      </c>
      <c r="E3" s="1" t="s">
        <v>9</v>
      </c>
      <c r="F3" s="1" t="s">
        <v>16</v>
      </c>
      <c r="G3" s="3">
        <v>45673.0</v>
      </c>
      <c r="I3" s="2" t="s">
        <v>9</v>
      </c>
      <c r="J3" s="2" t="s">
        <v>10</v>
      </c>
      <c r="K3" s="8">
        <v>45597.0</v>
      </c>
      <c r="M3" s="7"/>
      <c r="N3" s="7"/>
      <c r="P3" s="1" t="s">
        <v>9</v>
      </c>
      <c r="Q3" s="1" t="s">
        <v>10</v>
      </c>
      <c r="R3" s="9">
        <v>45627.0</v>
      </c>
      <c r="T3" s="1" t="s">
        <v>210</v>
      </c>
      <c r="U3" s="1" t="s">
        <v>4</v>
      </c>
      <c r="V3" s="1" t="s">
        <v>211</v>
      </c>
      <c r="X3" s="1" t="s">
        <v>212</v>
      </c>
      <c r="Y3" s="7"/>
    </row>
    <row r="4">
      <c r="A4" s="1" t="s">
        <v>9</v>
      </c>
      <c r="B4" s="1" t="s">
        <v>18</v>
      </c>
      <c r="C4" s="1" t="s">
        <v>213</v>
      </c>
      <c r="E4" s="1" t="s">
        <v>9</v>
      </c>
      <c r="F4" s="1" t="s">
        <v>18</v>
      </c>
      <c r="G4" s="3">
        <v>45731.0</v>
      </c>
      <c r="I4" s="2" t="s">
        <v>9</v>
      </c>
      <c r="J4" s="2" t="s">
        <v>15</v>
      </c>
      <c r="K4" s="8">
        <v>45747.0</v>
      </c>
      <c r="M4" s="1" t="s">
        <v>212</v>
      </c>
      <c r="N4" s="7"/>
      <c r="P4" s="1" t="s">
        <v>9</v>
      </c>
      <c r="Q4" s="1" t="s">
        <v>15</v>
      </c>
      <c r="R4" s="1" t="s">
        <v>214</v>
      </c>
      <c r="T4" s="1" t="s">
        <v>9</v>
      </c>
      <c r="U4" s="1" t="s">
        <v>215</v>
      </c>
      <c r="V4" s="3">
        <v>45728.0</v>
      </c>
      <c r="X4" s="1" t="s">
        <v>10</v>
      </c>
      <c r="Y4" s="3">
        <v>45667.0</v>
      </c>
    </row>
    <row r="5">
      <c r="A5" s="1" t="s">
        <v>9</v>
      </c>
      <c r="B5" s="1" t="s">
        <v>21</v>
      </c>
      <c r="C5" s="1" t="s">
        <v>11</v>
      </c>
      <c r="E5" s="1" t="s">
        <v>9</v>
      </c>
      <c r="F5" s="1" t="s">
        <v>21</v>
      </c>
      <c r="G5" s="1" t="s">
        <v>216</v>
      </c>
      <c r="I5" s="2" t="s">
        <v>9</v>
      </c>
      <c r="J5" s="2" t="s">
        <v>217</v>
      </c>
      <c r="K5" s="2" t="s">
        <v>11</v>
      </c>
      <c r="M5" s="1" t="s">
        <v>10</v>
      </c>
      <c r="N5" s="3">
        <v>45606.0</v>
      </c>
      <c r="P5" s="1" t="s">
        <v>9</v>
      </c>
      <c r="Q5" s="1" t="s">
        <v>17</v>
      </c>
      <c r="R5" s="1" t="s">
        <v>11</v>
      </c>
      <c r="T5" s="1" t="s">
        <v>9</v>
      </c>
      <c r="U5" s="1" t="s">
        <v>16</v>
      </c>
      <c r="V5" s="3">
        <v>45731.0</v>
      </c>
      <c r="X5" s="1" t="s">
        <v>15</v>
      </c>
      <c r="Y5" s="3">
        <v>45698.0</v>
      </c>
    </row>
    <row r="6">
      <c r="A6" s="1" t="s">
        <v>9</v>
      </c>
      <c r="B6" s="1" t="s">
        <v>24</v>
      </c>
      <c r="C6" s="1" t="s">
        <v>218</v>
      </c>
      <c r="E6" s="1" t="s">
        <v>9</v>
      </c>
      <c r="F6" s="1" t="s">
        <v>24</v>
      </c>
      <c r="G6" s="1" t="s">
        <v>219</v>
      </c>
      <c r="I6" s="2" t="s">
        <v>9</v>
      </c>
      <c r="J6" s="2" t="s">
        <v>19</v>
      </c>
      <c r="K6" s="2" t="s">
        <v>220</v>
      </c>
      <c r="M6" s="1" t="s">
        <v>15</v>
      </c>
      <c r="N6" s="1" t="s">
        <v>221</v>
      </c>
      <c r="P6" s="1" t="s">
        <v>9</v>
      </c>
      <c r="Q6" s="1" t="s">
        <v>19</v>
      </c>
      <c r="R6" s="1" t="s">
        <v>222</v>
      </c>
      <c r="T6" s="1" t="s">
        <v>9</v>
      </c>
      <c r="U6" s="1" t="s">
        <v>223</v>
      </c>
      <c r="V6" s="3">
        <v>45771.0</v>
      </c>
      <c r="X6" s="1" t="s">
        <v>217</v>
      </c>
      <c r="Y6" s="1" t="s">
        <v>11</v>
      </c>
    </row>
    <row r="7">
      <c r="A7" s="1" t="s">
        <v>9</v>
      </c>
      <c r="B7" s="1" t="s">
        <v>27</v>
      </c>
      <c r="C7" s="1" t="s">
        <v>224</v>
      </c>
      <c r="E7" s="1" t="s">
        <v>9</v>
      </c>
      <c r="F7" s="1" t="s">
        <v>225</v>
      </c>
      <c r="G7" s="1" t="s">
        <v>226</v>
      </c>
      <c r="I7" s="2" t="s">
        <v>9</v>
      </c>
      <c r="J7" s="2" t="s">
        <v>227</v>
      </c>
      <c r="K7" s="2" t="s">
        <v>11</v>
      </c>
      <c r="M7" s="1" t="s">
        <v>217</v>
      </c>
      <c r="N7" s="1" t="s">
        <v>228</v>
      </c>
      <c r="P7" s="1" t="s">
        <v>9</v>
      </c>
      <c r="Q7" s="1" t="s">
        <v>229</v>
      </c>
      <c r="R7" s="1" t="s">
        <v>230</v>
      </c>
      <c r="T7" s="1" t="s">
        <v>9</v>
      </c>
      <c r="U7" s="1" t="s">
        <v>231</v>
      </c>
      <c r="V7" s="3">
        <v>45778.0</v>
      </c>
      <c r="X7" s="1" t="s">
        <v>19</v>
      </c>
      <c r="Y7" s="1" t="s">
        <v>232</v>
      </c>
    </row>
    <row r="8">
      <c r="A8" s="1" t="s">
        <v>9</v>
      </c>
      <c r="B8" s="1" t="s">
        <v>30</v>
      </c>
      <c r="C8" s="1" t="s">
        <v>233</v>
      </c>
      <c r="E8" s="1" t="s">
        <v>9</v>
      </c>
      <c r="F8" s="1" t="s">
        <v>27</v>
      </c>
      <c r="G8" s="1" t="s">
        <v>234</v>
      </c>
      <c r="I8" s="2" t="s">
        <v>9</v>
      </c>
      <c r="J8" s="2" t="s">
        <v>22</v>
      </c>
      <c r="K8" s="2" t="s">
        <v>235</v>
      </c>
      <c r="M8" s="1" t="s">
        <v>19</v>
      </c>
      <c r="N8" s="1" t="s">
        <v>236</v>
      </c>
      <c r="P8" s="1" t="s">
        <v>9</v>
      </c>
      <c r="Q8" s="1" t="s">
        <v>26</v>
      </c>
      <c r="R8" s="1" t="s">
        <v>230</v>
      </c>
      <c r="T8" s="1" t="s">
        <v>9</v>
      </c>
      <c r="U8" s="1" t="s">
        <v>237</v>
      </c>
      <c r="V8" s="3">
        <v>45784.0</v>
      </c>
      <c r="X8" s="1" t="s">
        <v>227</v>
      </c>
      <c r="Y8" s="1" t="s">
        <v>11</v>
      </c>
    </row>
    <row r="9">
      <c r="A9" s="1" t="s">
        <v>28</v>
      </c>
      <c r="B9" s="1" t="s">
        <v>238</v>
      </c>
      <c r="C9" s="1" t="s">
        <v>239</v>
      </c>
      <c r="E9" s="1" t="s">
        <v>9</v>
      </c>
      <c r="F9" s="1" t="s">
        <v>30</v>
      </c>
      <c r="G9" s="1" t="s">
        <v>240</v>
      </c>
      <c r="I9" s="2" t="s">
        <v>9</v>
      </c>
      <c r="J9" s="2" t="s">
        <v>26</v>
      </c>
      <c r="K9" s="8">
        <v>45780.0</v>
      </c>
      <c r="M9" s="1" t="s">
        <v>227</v>
      </c>
      <c r="N9" s="1" t="s">
        <v>241</v>
      </c>
      <c r="P9" s="1" t="s">
        <v>28</v>
      </c>
      <c r="Q9" s="1" t="s">
        <v>242</v>
      </c>
      <c r="R9" s="1">
        <v>3.0</v>
      </c>
      <c r="T9" s="1" t="s">
        <v>9</v>
      </c>
      <c r="U9" s="1" t="s">
        <v>243</v>
      </c>
      <c r="V9" s="3">
        <v>45789.0</v>
      </c>
      <c r="X9" s="1" t="s">
        <v>22</v>
      </c>
      <c r="Y9" s="3">
        <v>45752.0</v>
      </c>
    </row>
    <row r="10">
      <c r="A10" s="1" t="s">
        <v>28</v>
      </c>
      <c r="B10" s="1" t="s">
        <v>33</v>
      </c>
      <c r="C10" s="1" t="s">
        <v>244</v>
      </c>
      <c r="E10" s="1" t="s">
        <v>28</v>
      </c>
      <c r="F10" s="1" t="s">
        <v>245</v>
      </c>
      <c r="G10" s="1" t="s">
        <v>246</v>
      </c>
      <c r="I10" s="2" t="s">
        <v>28</v>
      </c>
      <c r="J10" s="2" t="s">
        <v>242</v>
      </c>
      <c r="K10" s="2" t="s">
        <v>247</v>
      </c>
      <c r="M10" s="1" t="s">
        <v>22</v>
      </c>
      <c r="N10" s="1" t="s">
        <v>248</v>
      </c>
      <c r="P10" s="1" t="s">
        <v>28</v>
      </c>
      <c r="Q10" s="1" t="s">
        <v>29</v>
      </c>
      <c r="R10" s="1" t="s">
        <v>249</v>
      </c>
      <c r="T10" s="1" t="s">
        <v>9</v>
      </c>
      <c r="U10" s="1" t="s">
        <v>250</v>
      </c>
      <c r="V10" s="3">
        <v>45793.0</v>
      </c>
      <c r="X10" s="1" t="s">
        <v>26</v>
      </c>
      <c r="Y10" s="1" t="s">
        <v>11</v>
      </c>
    </row>
    <row r="11">
      <c r="A11" s="1" t="s">
        <v>28</v>
      </c>
      <c r="B11" s="1" t="s">
        <v>36</v>
      </c>
      <c r="C11" s="1" t="s">
        <v>251</v>
      </c>
      <c r="E11" s="1" t="s">
        <v>28</v>
      </c>
      <c r="F11" s="1" t="s">
        <v>36</v>
      </c>
      <c r="G11" s="1" t="s">
        <v>252</v>
      </c>
      <c r="I11" s="2" t="s">
        <v>28</v>
      </c>
      <c r="J11" s="2" t="s">
        <v>29</v>
      </c>
      <c r="K11" s="2" t="s">
        <v>244</v>
      </c>
      <c r="M11" s="1" t="s">
        <v>26</v>
      </c>
      <c r="N11" s="1" t="s">
        <v>253</v>
      </c>
      <c r="P11" s="1" t="s">
        <v>28</v>
      </c>
      <c r="Q11" s="1" t="s">
        <v>36</v>
      </c>
      <c r="R11" s="1" t="s">
        <v>252</v>
      </c>
      <c r="T11" s="1" t="s">
        <v>9</v>
      </c>
      <c r="U11" s="1" t="s">
        <v>21</v>
      </c>
      <c r="V11" s="1" t="s">
        <v>254</v>
      </c>
      <c r="X11" s="1" t="s">
        <v>255</v>
      </c>
      <c r="Y11" s="7"/>
    </row>
    <row r="12">
      <c r="A12" s="1" t="s">
        <v>28</v>
      </c>
      <c r="B12" s="1" t="s">
        <v>43</v>
      </c>
      <c r="C12" s="1" t="s">
        <v>256</v>
      </c>
      <c r="E12" s="1" t="s">
        <v>28</v>
      </c>
      <c r="F12" s="1" t="s">
        <v>43</v>
      </c>
      <c r="G12" s="1" t="s">
        <v>257</v>
      </c>
      <c r="I12" s="2" t="s">
        <v>28</v>
      </c>
      <c r="J12" s="2" t="s">
        <v>36</v>
      </c>
      <c r="K12" s="2" t="s">
        <v>258</v>
      </c>
      <c r="M12" s="7"/>
      <c r="N12" s="7"/>
      <c r="P12" s="1" t="s">
        <v>28</v>
      </c>
      <c r="Q12" s="1" t="s">
        <v>43</v>
      </c>
      <c r="R12" s="1" t="s">
        <v>44</v>
      </c>
      <c r="T12" s="1" t="s">
        <v>9</v>
      </c>
      <c r="U12" s="1" t="s">
        <v>27</v>
      </c>
      <c r="V12" s="3">
        <v>45789.0</v>
      </c>
      <c r="X12" s="1" t="s">
        <v>259</v>
      </c>
      <c r="Y12" s="1" t="s">
        <v>247</v>
      </c>
    </row>
    <row r="13">
      <c r="A13" s="1" t="s">
        <v>28</v>
      </c>
      <c r="B13" s="1" t="s">
        <v>50</v>
      </c>
      <c r="C13" s="1" t="s">
        <v>260</v>
      </c>
      <c r="E13" s="1" t="s">
        <v>28</v>
      </c>
      <c r="F13" s="1" t="s">
        <v>50</v>
      </c>
      <c r="G13" s="1" t="s">
        <v>261</v>
      </c>
      <c r="I13" s="2" t="s">
        <v>28</v>
      </c>
      <c r="J13" s="2" t="s">
        <v>48</v>
      </c>
      <c r="K13" s="2" t="s">
        <v>44</v>
      </c>
      <c r="M13" s="1" t="s">
        <v>255</v>
      </c>
      <c r="N13" s="7"/>
      <c r="P13" s="1" t="s">
        <v>28</v>
      </c>
      <c r="Q13" s="1" t="s">
        <v>47</v>
      </c>
      <c r="R13" s="1" t="s">
        <v>262</v>
      </c>
      <c r="T13" s="1" t="s">
        <v>9</v>
      </c>
      <c r="U13" s="1" t="s">
        <v>263</v>
      </c>
      <c r="V13" s="1" t="s">
        <v>264</v>
      </c>
      <c r="X13" s="1" t="s">
        <v>29</v>
      </c>
      <c r="Y13" s="1" t="s">
        <v>37</v>
      </c>
    </row>
    <row r="14">
      <c r="A14" s="1" t="s">
        <v>28</v>
      </c>
      <c r="B14" s="1" t="s">
        <v>265</v>
      </c>
      <c r="C14" s="1" t="s">
        <v>266</v>
      </c>
      <c r="E14" s="1" t="s">
        <v>45</v>
      </c>
      <c r="F14" s="1" t="s">
        <v>55</v>
      </c>
      <c r="G14" s="1" t="s">
        <v>58</v>
      </c>
      <c r="I14" s="2" t="s">
        <v>28</v>
      </c>
      <c r="J14" s="2" t="s">
        <v>47</v>
      </c>
      <c r="K14" s="2" t="s">
        <v>267</v>
      </c>
      <c r="M14" s="1" t="s">
        <v>242</v>
      </c>
      <c r="N14" s="1">
        <v>3.0</v>
      </c>
      <c r="P14" s="1" t="s">
        <v>28</v>
      </c>
      <c r="Q14" s="1" t="s">
        <v>62</v>
      </c>
      <c r="R14" s="1" t="s">
        <v>268</v>
      </c>
      <c r="T14" s="1" t="s">
        <v>9</v>
      </c>
      <c r="U14" s="1" t="s">
        <v>269</v>
      </c>
      <c r="V14" s="1" t="s">
        <v>270</v>
      </c>
      <c r="X14" s="1" t="s">
        <v>36</v>
      </c>
      <c r="Y14" s="1" t="s">
        <v>271</v>
      </c>
    </row>
    <row r="15">
      <c r="A15" s="1" t="s">
        <v>45</v>
      </c>
      <c r="B15" s="1" t="s">
        <v>55</v>
      </c>
      <c r="C15" s="1" t="s">
        <v>272</v>
      </c>
      <c r="E15" s="1" t="s">
        <v>45</v>
      </c>
      <c r="F15" s="1" t="s">
        <v>74</v>
      </c>
      <c r="G15" s="1" t="s">
        <v>273</v>
      </c>
      <c r="I15" s="2" t="s">
        <v>28</v>
      </c>
      <c r="J15" s="2" t="s">
        <v>62</v>
      </c>
      <c r="K15" s="2" t="s">
        <v>63</v>
      </c>
      <c r="M15" s="1" t="s">
        <v>29</v>
      </c>
      <c r="N15" s="1" t="s">
        <v>274</v>
      </c>
      <c r="P15" s="1" t="s">
        <v>45</v>
      </c>
      <c r="Q15" s="1" t="s">
        <v>55</v>
      </c>
      <c r="R15" s="1" t="s">
        <v>58</v>
      </c>
      <c r="T15" s="1" t="s">
        <v>9</v>
      </c>
      <c r="U15" s="1" t="s">
        <v>30</v>
      </c>
      <c r="V15" s="3">
        <v>45816.0</v>
      </c>
      <c r="X15" s="1" t="s">
        <v>275</v>
      </c>
      <c r="Y15" s="1" t="s">
        <v>276</v>
      </c>
    </row>
    <row r="16">
      <c r="A16" s="1" t="s">
        <v>45</v>
      </c>
      <c r="B16" s="1" t="s">
        <v>74</v>
      </c>
      <c r="C16" s="1" t="s">
        <v>273</v>
      </c>
      <c r="E16" s="1" t="s">
        <v>45</v>
      </c>
      <c r="F16" s="1" t="s">
        <v>81</v>
      </c>
      <c r="G16" s="1" t="s">
        <v>277</v>
      </c>
      <c r="I16" s="2" t="s">
        <v>45</v>
      </c>
      <c r="J16" s="2" t="s">
        <v>55</v>
      </c>
      <c r="K16" s="2" t="s">
        <v>278</v>
      </c>
      <c r="M16" s="1" t="s">
        <v>36</v>
      </c>
      <c r="N16" s="1" t="s">
        <v>258</v>
      </c>
      <c r="P16" s="1" t="s">
        <v>45</v>
      </c>
      <c r="Q16" s="1" t="s">
        <v>61</v>
      </c>
      <c r="R16" s="1" t="s">
        <v>279</v>
      </c>
      <c r="T16" s="1" t="s">
        <v>28</v>
      </c>
      <c r="U16" s="1" t="s">
        <v>33</v>
      </c>
      <c r="V16" s="1" t="s">
        <v>244</v>
      </c>
      <c r="X16" s="1" t="s">
        <v>47</v>
      </c>
      <c r="Y16" s="1" t="s">
        <v>57</v>
      </c>
    </row>
    <row r="17">
      <c r="A17" s="1" t="s">
        <v>45</v>
      </c>
      <c r="B17" s="1" t="s">
        <v>81</v>
      </c>
      <c r="C17" s="1" t="s">
        <v>280</v>
      </c>
      <c r="E17" s="1" t="s">
        <v>45</v>
      </c>
      <c r="F17" s="1" t="s">
        <v>281</v>
      </c>
      <c r="G17" s="1" t="s">
        <v>282</v>
      </c>
      <c r="I17" s="2" t="s">
        <v>45</v>
      </c>
      <c r="J17" s="2" t="s">
        <v>61</v>
      </c>
      <c r="K17" s="2" t="s">
        <v>283</v>
      </c>
      <c r="M17" s="1" t="s">
        <v>48</v>
      </c>
      <c r="N17" s="1" t="s">
        <v>44</v>
      </c>
      <c r="P17" s="1" t="s">
        <v>45</v>
      </c>
      <c r="Q17" s="1" t="s">
        <v>81</v>
      </c>
      <c r="R17" s="1" t="s">
        <v>284</v>
      </c>
      <c r="T17" s="1" t="s">
        <v>28</v>
      </c>
      <c r="U17" s="1" t="s">
        <v>36</v>
      </c>
      <c r="V17" s="1" t="s">
        <v>38</v>
      </c>
      <c r="X17" s="1" t="s">
        <v>62</v>
      </c>
      <c r="Y17" s="1" t="s">
        <v>63</v>
      </c>
    </row>
    <row r="18">
      <c r="A18" s="1" t="s">
        <v>45</v>
      </c>
      <c r="B18" s="1" t="s">
        <v>281</v>
      </c>
      <c r="C18" s="1" t="s">
        <v>285</v>
      </c>
      <c r="E18" s="1" t="s">
        <v>45</v>
      </c>
      <c r="F18" s="1" t="s">
        <v>286</v>
      </c>
      <c r="G18" s="1" t="s">
        <v>287</v>
      </c>
      <c r="I18" s="2" t="s">
        <v>45</v>
      </c>
      <c r="J18" s="2" t="s">
        <v>81</v>
      </c>
      <c r="K18" s="2" t="s">
        <v>288</v>
      </c>
      <c r="M18" s="1" t="s">
        <v>47</v>
      </c>
      <c r="N18" s="1" t="s">
        <v>289</v>
      </c>
      <c r="P18" s="1" t="s">
        <v>45</v>
      </c>
      <c r="Q18" s="1" t="s">
        <v>290</v>
      </c>
      <c r="R18" s="1" t="s">
        <v>291</v>
      </c>
      <c r="T18" s="1" t="s">
        <v>28</v>
      </c>
      <c r="U18" s="1" t="s">
        <v>39</v>
      </c>
      <c r="V18" s="1" t="s">
        <v>40</v>
      </c>
      <c r="X18" s="1" t="s">
        <v>292</v>
      </c>
      <c r="Y18" s="7"/>
    </row>
    <row r="19">
      <c r="A19" s="1" t="s">
        <v>45</v>
      </c>
      <c r="B19" s="1" t="s">
        <v>293</v>
      </c>
      <c r="C19" s="1" t="s">
        <v>294</v>
      </c>
      <c r="E19" s="1" t="s">
        <v>45</v>
      </c>
      <c r="F19" s="1" t="s">
        <v>295</v>
      </c>
      <c r="G19" s="1" t="s">
        <v>296</v>
      </c>
      <c r="I19" s="2" t="s">
        <v>45</v>
      </c>
      <c r="J19" s="2" t="s">
        <v>297</v>
      </c>
      <c r="K19" s="2" t="s">
        <v>282</v>
      </c>
      <c r="M19" s="1" t="s">
        <v>62</v>
      </c>
      <c r="N19" s="1" t="s">
        <v>268</v>
      </c>
      <c r="P19" s="1" t="s">
        <v>45</v>
      </c>
      <c r="Q19" s="1" t="s">
        <v>298</v>
      </c>
      <c r="R19" s="1" t="s">
        <v>282</v>
      </c>
      <c r="T19" s="1" t="s">
        <v>28</v>
      </c>
      <c r="U19" s="1" t="s">
        <v>48</v>
      </c>
      <c r="V19" s="1" t="s">
        <v>299</v>
      </c>
      <c r="X19" s="1" t="s">
        <v>55</v>
      </c>
      <c r="Y19" s="1" t="s">
        <v>58</v>
      </c>
    </row>
    <row r="20">
      <c r="A20" s="1" t="s">
        <v>83</v>
      </c>
      <c r="B20" s="1" t="s">
        <v>300</v>
      </c>
      <c r="C20" s="1" t="s">
        <v>11</v>
      </c>
      <c r="E20" s="1" t="s">
        <v>113</v>
      </c>
      <c r="F20" s="1" t="s">
        <v>301</v>
      </c>
      <c r="G20" s="1" t="s">
        <v>302</v>
      </c>
      <c r="I20" s="2" t="s">
        <v>45</v>
      </c>
      <c r="J20" s="2" t="s">
        <v>303</v>
      </c>
      <c r="K20" s="2" t="s">
        <v>304</v>
      </c>
      <c r="M20" s="7"/>
      <c r="N20" s="7"/>
      <c r="P20" s="1" t="s">
        <v>113</v>
      </c>
      <c r="Q20" s="1" t="s">
        <v>305</v>
      </c>
      <c r="R20" s="1" t="s">
        <v>306</v>
      </c>
      <c r="T20" s="1" t="s">
        <v>45</v>
      </c>
      <c r="U20" s="1" t="s">
        <v>55</v>
      </c>
      <c r="V20" s="1" t="s">
        <v>307</v>
      </c>
      <c r="X20" s="1" t="s">
        <v>61</v>
      </c>
      <c r="Y20" s="1" t="s">
        <v>77</v>
      </c>
    </row>
    <row r="21">
      <c r="A21" s="1" t="s">
        <v>83</v>
      </c>
      <c r="B21" s="1" t="s">
        <v>93</v>
      </c>
      <c r="C21" s="1" t="s">
        <v>11</v>
      </c>
      <c r="E21" s="1" t="s">
        <v>113</v>
      </c>
      <c r="F21" s="1" t="s">
        <v>308</v>
      </c>
      <c r="G21" s="1" t="s">
        <v>98</v>
      </c>
      <c r="I21" s="2" t="s">
        <v>96</v>
      </c>
      <c r="J21" s="2" t="s">
        <v>309</v>
      </c>
      <c r="K21" s="2" t="s">
        <v>310</v>
      </c>
      <c r="M21" s="1" t="s">
        <v>292</v>
      </c>
      <c r="N21" s="7"/>
      <c r="P21" s="1" t="s">
        <v>113</v>
      </c>
      <c r="Q21" s="1" t="s">
        <v>99</v>
      </c>
      <c r="R21" s="1" t="s">
        <v>63</v>
      </c>
      <c r="T21" s="1" t="s">
        <v>45</v>
      </c>
      <c r="U21" s="1" t="s">
        <v>311</v>
      </c>
      <c r="V21" s="1" t="s">
        <v>312</v>
      </c>
      <c r="X21" s="1" t="s">
        <v>68</v>
      </c>
      <c r="Y21" s="1" t="s">
        <v>313</v>
      </c>
    </row>
    <row r="22">
      <c r="A22" s="1" t="s">
        <v>79</v>
      </c>
      <c r="B22" s="1" t="s">
        <v>314</v>
      </c>
      <c r="C22" s="1" t="s">
        <v>315</v>
      </c>
      <c r="E22" s="1" t="s">
        <v>113</v>
      </c>
      <c r="F22" s="1" t="s">
        <v>93</v>
      </c>
      <c r="G22" s="1" t="s">
        <v>111</v>
      </c>
      <c r="I22" s="2" t="s">
        <v>96</v>
      </c>
      <c r="J22" s="2" t="s">
        <v>91</v>
      </c>
      <c r="K22" s="2" t="s">
        <v>316</v>
      </c>
      <c r="M22" s="1" t="s">
        <v>55</v>
      </c>
      <c r="N22" s="1" t="s">
        <v>317</v>
      </c>
      <c r="P22" s="1" t="s">
        <v>79</v>
      </c>
      <c r="Q22" s="1" t="s">
        <v>318</v>
      </c>
      <c r="R22" s="1" t="s">
        <v>319</v>
      </c>
      <c r="T22" s="1" t="s">
        <v>45</v>
      </c>
      <c r="U22" s="1" t="s">
        <v>64</v>
      </c>
      <c r="V22" s="1" t="s">
        <v>320</v>
      </c>
      <c r="X22" s="1" t="s">
        <v>321</v>
      </c>
      <c r="Y22" s="1" t="s">
        <v>322</v>
      </c>
    </row>
    <row r="23">
      <c r="A23" s="1" t="s">
        <v>79</v>
      </c>
      <c r="B23" s="1" t="s">
        <v>109</v>
      </c>
      <c r="C23" s="1" t="s">
        <v>201</v>
      </c>
      <c r="E23" s="1" t="s">
        <v>79</v>
      </c>
      <c r="F23" s="1" t="s">
        <v>314</v>
      </c>
      <c r="G23" s="1" t="s">
        <v>323</v>
      </c>
      <c r="I23" s="2" t="s">
        <v>96</v>
      </c>
      <c r="J23" s="2" t="s">
        <v>99</v>
      </c>
      <c r="K23" s="2" t="s">
        <v>111</v>
      </c>
      <c r="M23" s="1" t="s">
        <v>61</v>
      </c>
      <c r="N23" s="1" t="s">
        <v>324</v>
      </c>
      <c r="P23" s="1" t="s">
        <v>79</v>
      </c>
      <c r="Q23" s="1" t="s">
        <v>325</v>
      </c>
      <c r="R23" s="1" t="s">
        <v>326</v>
      </c>
      <c r="T23" s="1" t="s">
        <v>45</v>
      </c>
      <c r="U23" s="1" t="s">
        <v>327</v>
      </c>
      <c r="V23" s="1" t="s">
        <v>291</v>
      </c>
      <c r="X23" s="1" t="s">
        <v>100</v>
      </c>
      <c r="Y23" s="1" t="s">
        <v>328</v>
      </c>
    </row>
    <row r="24">
      <c r="A24" s="1" t="s">
        <v>79</v>
      </c>
      <c r="B24" s="1" t="s">
        <v>329</v>
      </c>
      <c r="C24" s="1" t="s">
        <v>330</v>
      </c>
      <c r="E24" s="1" t="s">
        <v>79</v>
      </c>
      <c r="F24" s="1" t="s">
        <v>331</v>
      </c>
      <c r="G24" s="1" t="s">
        <v>332</v>
      </c>
      <c r="I24" s="2" t="s">
        <v>79</v>
      </c>
      <c r="J24" s="2" t="s">
        <v>318</v>
      </c>
      <c r="K24" s="2" t="s">
        <v>149</v>
      </c>
      <c r="M24" s="1" t="s">
        <v>68</v>
      </c>
      <c r="N24" s="1" t="s">
        <v>288</v>
      </c>
      <c r="P24" s="1" t="s">
        <v>79</v>
      </c>
      <c r="Q24" s="1" t="s">
        <v>333</v>
      </c>
      <c r="R24" s="1" t="s">
        <v>334</v>
      </c>
      <c r="T24" s="1" t="s">
        <v>45</v>
      </c>
      <c r="U24" s="1" t="s">
        <v>335</v>
      </c>
      <c r="V24" s="1" t="s">
        <v>336</v>
      </c>
      <c r="X24" s="1" t="s">
        <v>107</v>
      </c>
      <c r="Y24" s="1" t="s">
        <v>337</v>
      </c>
    </row>
    <row r="25">
      <c r="A25" s="1" t="s">
        <v>79</v>
      </c>
      <c r="B25" s="1" t="s">
        <v>338</v>
      </c>
      <c r="C25" s="1" t="s">
        <v>339</v>
      </c>
      <c r="E25" s="1" t="s">
        <v>79</v>
      </c>
      <c r="F25" s="1" t="s">
        <v>338</v>
      </c>
      <c r="G25" s="1" t="s">
        <v>340</v>
      </c>
      <c r="I25" s="2" t="s">
        <v>79</v>
      </c>
      <c r="J25" s="2" t="s">
        <v>341</v>
      </c>
      <c r="K25" s="2" t="s">
        <v>342</v>
      </c>
      <c r="M25" s="1" t="s">
        <v>76</v>
      </c>
      <c r="N25" s="1" t="s">
        <v>343</v>
      </c>
      <c r="P25" s="1" t="s">
        <v>118</v>
      </c>
      <c r="Q25" s="1" t="s">
        <v>119</v>
      </c>
      <c r="R25" s="1" t="s">
        <v>344</v>
      </c>
      <c r="T25" s="1" t="s">
        <v>45</v>
      </c>
      <c r="U25" s="1" t="s">
        <v>345</v>
      </c>
      <c r="V25" s="1" t="s">
        <v>346</v>
      </c>
      <c r="X25" s="1" t="s">
        <v>347</v>
      </c>
      <c r="Y25" s="7"/>
    </row>
    <row r="26">
      <c r="A26" s="1" t="s">
        <v>348</v>
      </c>
      <c r="B26" s="1" t="s">
        <v>349</v>
      </c>
      <c r="C26" s="1" t="s">
        <v>350</v>
      </c>
      <c r="E26" s="1" t="s">
        <v>118</v>
      </c>
      <c r="F26" s="1" t="s">
        <v>351</v>
      </c>
      <c r="G26" s="1" t="s">
        <v>352</v>
      </c>
      <c r="I26" s="2" t="s">
        <v>79</v>
      </c>
      <c r="J26" s="2" t="s">
        <v>161</v>
      </c>
      <c r="K26" s="2" t="s">
        <v>353</v>
      </c>
      <c r="M26" s="1" t="s">
        <v>100</v>
      </c>
      <c r="N26" s="1" t="s">
        <v>354</v>
      </c>
      <c r="P26" s="1" t="s">
        <v>118</v>
      </c>
      <c r="Q26" s="1" t="s">
        <v>124</v>
      </c>
      <c r="R26" s="1" t="s">
        <v>355</v>
      </c>
      <c r="T26" s="1" t="s">
        <v>83</v>
      </c>
      <c r="U26" s="1" t="s">
        <v>356</v>
      </c>
      <c r="V26" s="1" t="s">
        <v>98</v>
      </c>
      <c r="X26" s="1" t="s">
        <v>357</v>
      </c>
      <c r="Y26" s="1" t="s">
        <v>52</v>
      </c>
    </row>
    <row r="27">
      <c r="A27" s="1" t="s">
        <v>348</v>
      </c>
      <c r="B27" s="1" t="s">
        <v>183</v>
      </c>
      <c r="C27" s="1" t="s">
        <v>358</v>
      </c>
      <c r="E27" s="1" t="s">
        <v>118</v>
      </c>
      <c r="F27" s="1" t="s">
        <v>359</v>
      </c>
      <c r="G27" s="1" t="s">
        <v>360</v>
      </c>
      <c r="I27" s="2" t="s">
        <v>118</v>
      </c>
      <c r="J27" s="2" t="s">
        <v>119</v>
      </c>
      <c r="K27" s="2" t="s">
        <v>361</v>
      </c>
      <c r="M27" s="1" t="s">
        <v>107</v>
      </c>
      <c r="N27" s="1" t="s">
        <v>362</v>
      </c>
      <c r="P27" s="1" t="s">
        <v>118</v>
      </c>
      <c r="Q27" s="1" t="s">
        <v>132</v>
      </c>
      <c r="R27" s="1" t="s">
        <v>363</v>
      </c>
      <c r="T27" s="1" t="s">
        <v>83</v>
      </c>
      <c r="U27" s="1" t="s">
        <v>364</v>
      </c>
      <c r="V27" s="1" t="s">
        <v>365</v>
      </c>
      <c r="X27" s="1" t="s">
        <v>366</v>
      </c>
      <c r="Y27" s="1" t="s">
        <v>60</v>
      </c>
    </row>
    <row r="28">
      <c r="A28" s="1" t="s">
        <v>348</v>
      </c>
      <c r="B28" s="1" t="s">
        <v>367</v>
      </c>
      <c r="C28" s="1" t="s">
        <v>368</v>
      </c>
      <c r="E28" s="1" t="s">
        <v>118</v>
      </c>
      <c r="F28" s="1" t="s">
        <v>369</v>
      </c>
      <c r="G28" s="1" t="s">
        <v>370</v>
      </c>
      <c r="I28" s="2" t="s">
        <v>118</v>
      </c>
      <c r="J28" s="2" t="s">
        <v>124</v>
      </c>
      <c r="K28" s="2" t="s">
        <v>371</v>
      </c>
      <c r="M28" s="7"/>
      <c r="N28" s="7"/>
      <c r="P28" s="1" t="s">
        <v>118</v>
      </c>
      <c r="Q28" s="1" t="s">
        <v>138</v>
      </c>
      <c r="R28" s="1" t="s">
        <v>363</v>
      </c>
      <c r="T28" s="1" t="s">
        <v>83</v>
      </c>
      <c r="U28" s="1" t="s">
        <v>372</v>
      </c>
      <c r="V28" s="1" t="s">
        <v>52</v>
      </c>
      <c r="X28" s="1" t="s">
        <v>373</v>
      </c>
      <c r="Y28" s="1" t="s">
        <v>67</v>
      </c>
    </row>
    <row r="29">
      <c r="A29" s="1" t="s">
        <v>118</v>
      </c>
      <c r="B29" s="1" t="s">
        <v>119</v>
      </c>
      <c r="C29" s="1" t="s">
        <v>374</v>
      </c>
      <c r="E29" s="1" t="s">
        <v>118</v>
      </c>
      <c r="F29" s="1" t="s">
        <v>375</v>
      </c>
      <c r="G29" s="1" t="s">
        <v>162</v>
      </c>
      <c r="I29" s="2" t="s">
        <v>118</v>
      </c>
      <c r="J29" s="2" t="s">
        <v>376</v>
      </c>
      <c r="K29" s="2" t="s">
        <v>377</v>
      </c>
      <c r="M29" s="1" t="s">
        <v>347</v>
      </c>
      <c r="N29" s="7"/>
      <c r="P29" s="1" t="s">
        <v>118</v>
      </c>
      <c r="Q29" s="1" t="s">
        <v>378</v>
      </c>
      <c r="R29" s="1" t="s">
        <v>379</v>
      </c>
      <c r="T29" s="1" t="s">
        <v>83</v>
      </c>
      <c r="U29" s="1" t="s">
        <v>93</v>
      </c>
      <c r="V29" s="1" t="s">
        <v>380</v>
      </c>
      <c r="X29" s="1" t="s">
        <v>122</v>
      </c>
      <c r="Y29" s="1" t="s">
        <v>111</v>
      </c>
    </row>
    <row r="30">
      <c r="A30" s="1" t="s">
        <v>118</v>
      </c>
      <c r="B30" s="1" t="s">
        <v>124</v>
      </c>
      <c r="C30" s="1" t="s">
        <v>381</v>
      </c>
      <c r="E30" s="1" t="s">
        <v>145</v>
      </c>
      <c r="F30" s="1" t="s">
        <v>141</v>
      </c>
      <c r="G30" s="1" t="s">
        <v>382</v>
      </c>
      <c r="I30" s="2" t="s">
        <v>118</v>
      </c>
      <c r="J30" s="2" t="s">
        <v>383</v>
      </c>
      <c r="K30" s="2" t="s">
        <v>377</v>
      </c>
      <c r="M30" s="1" t="s">
        <v>309</v>
      </c>
      <c r="N30" s="1" t="s">
        <v>384</v>
      </c>
      <c r="P30" s="1" t="s">
        <v>145</v>
      </c>
      <c r="Q30" s="1" t="s">
        <v>385</v>
      </c>
      <c r="R30" s="1" t="s">
        <v>63</v>
      </c>
      <c r="T30" s="1" t="s">
        <v>79</v>
      </c>
      <c r="U30" s="1" t="s">
        <v>314</v>
      </c>
      <c r="V30" s="1" t="s">
        <v>386</v>
      </c>
      <c r="X30" s="1" t="s">
        <v>387</v>
      </c>
      <c r="Y30" s="7"/>
    </row>
    <row r="31">
      <c r="A31" s="1" t="s">
        <v>118</v>
      </c>
      <c r="B31" s="1" t="s">
        <v>130</v>
      </c>
      <c r="C31" s="1" t="s">
        <v>131</v>
      </c>
      <c r="E31" s="1" t="s">
        <v>145</v>
      </c>
      <c r="F31" s="1" t="s">
        <v>148</v>
      </c>
      <c r="G31" s="1" t="s">
        <v>149</v>
      </c>
      <c r="I31" s="2" t="s">
        <v>118</v>
      </c>
      <c r="J31" s="2" t="s">
        <v>388</v>
      </c>
      <c r="K31" s="2" t="s">
        <v>389</v>
      </c>
      <c r="M31" s="1" t="s">
        <v>91</v>
      </c>
      <c r="N31" s="1" t="s">
        <v>390</v>
      </c>
      <c r="P31" s="1" t="s">
        <v>145</v>
      </c>
      <c r="Q31" s="1" t="s">
        <v>153</v>
      </c>
      <c r="R31" s="1" t="s">
        <v>149</v>
      </c>
      <c r="T31" s="1" t="s">
        <v>79</v>
      </c>
      <c r="U31" s="1" t="s">
        <v>109</v>
      </c>
      <c r="V31" s="1" t="s">
        <v>326</v>
      </c>
      <c r="X31" s="1" t="s">
        <v>318</v>
      </c>
      <c r="Y31" s="1" t="s">
        <v>391</v>
      </c>
    </row>
    <row r="32">
      <c r="A32" s="1" t="s">
        <v>118</v>
      </c>
      <c r="B32" s="1" t="s">
        <v>136</v>
      </c>
      <c r="C32" s="1" t="s">
        <v>392</v>
      </c>
      <c r="E32" s="1" t="s">
        <v>145</v>
      </c>
      <c r="F32" s="1" t="s">
        <v>393</v>
      </c>
      <c r="G32" s="1" t="s">
        <v>149</v>
      </c>
      <c r="I32" s="2" t="s">
        <v>145</v>
      </c>
      <c r="J32" s="2" t="s">
        <v>146</v>
      </c>
      <c r="K32" s="2" t="s">
        <v>382</v>
      </c>
      <c r="M32" s="1" t="s">
        <v>122</v>
      </c>
      <c r="N32" s="1" t="s">
        <v>111</v>
      </c>
      <c r="P32" s="1" t="s">
        <v>145</v>
      </c>
      <c r="Q32" s="1" t="s">
        <v>195</v>
      </c>
      <c r="R32" s="1" t="s">
        <v>149</v>
      </c>
      <c r="T32" s="1" t="s">
        <v>79</v>
      </c>
      <c r="U32" s="1" t="s">
        <v>329</v>
      </c>
      <c r="V32" s="1" t="s">
        <v>394</v>
      </c>
      <c r="X32" s="1" t="s">
        <v>112</v>
      </c>
      <c r="Y32" s="1" t="s">
        <v>332</v>
      </c>
    </row>
    <row r="33">
      <c r="A33" s="1" t="s">
        <v>118</v>
      </c>
      <c r="B33" s="1" t="s">
        <v>395</v>
      </c>
      <c r="C33" s="1" t="s">
        <v>396</v>
      </c>
      <c r="E33" s="1" t="s">
        <v>159</v>
      </c>
      <c r="F33" s="1" t="s">
        <v>151</v>
      </c>
      <c r="G33" s="1" t="s">
        <v>397</v>
      </c>
      <c r="I33" s="2" t="s">
        <v>145</v>
      </c>
      <c r="J33" s="2" t="s">
        <v>153</v>
      </c>
      <c r="K33" s="2" t="s">
        <v>184</v>
      </c>
      <c r="M33" s="1" t="s">
        <v>398</v>
      </c>
      <c r="N33" s="1" t="s">
        <v>63</v>
      </c>
      <c r="P33" s="1" t="s">
        <v>159</v>
      </c>
      <c r="Q33" s="1" t="s">
        <v>399</v>
      </c>
      <c r="R33" s="1" t="s">
        <v>201</v>
      </c>
      <c r="T33" s="1" t="s">
        <v>118</v>
      </c>
      <c r="U33" s="1" t="s">
        <v>400</v>
      </c>
      <c r="V33" s="1" t="s">
        <v>401</v>
      </c>
      <c r="X33" s="1" t="s">
        <v>154</v>
      </c>
      <c r="Y33" s="1" t="s">
        <v>402</v>
      </c>
    </row>
    <row r="34">
      <c r="A34" s="1" t="s">
        <v>118</v>
      </c>
      <c r="B34" s="1" t="s">
        <v>403</v>
      </c>
      <c r="C34" s="1" t="s">
        <v>404</v>
      </c>
      <c r="E34" s="1" t="s">
        <v>159</v>
      </c>
      <c r="F34" s="1" t="s">
        <v>157</v>
      </c>
      <c r="G34" s="1" t="s">
        <v>201</v>
      </c>
      <c r="I34" s="2" t="s">
        <v>145</v>
      </c>
      <c r="J34" s="2" t="s">
        <v>195</v>
      </c>
      <c r="K34" s="2" t="s">
        <v>184</v>
      </c>
      <c r="M34" s="7"/>
      <c r="N34" s="7"/>
      <c r="P34" s="1" t="s">
        <v>159</v>
      </c>
      <c r="Q34" s="1" t="s">
        <v>405</v>
      </c>
      <c r="R34" s="1" t="s">
        <v>201</v>
      </c>
      <c r="T34" s="1" t="s">
        <v>118</v>
      </c>
      <c r="U34" s="1" t="s">
        <v>406</v>
      </c>
      <c r="V34" s="1" t="s">
        <v>401</v>
      </c>
      <c r="X34" s="1" t="s">
        <v>161</v>
      </c>
      <c r="Y34" s="1" t="s">
        <v>353</v>
      </c>
    </row>
    <row r="35">
      <c r="A35" s="1" t="s">
        <v>145</v>
      </c>
      <c r="B35" s="1" t="s">
        <v>141</v>
      </c>
      <c r="C35" s="1" t="s">
        <v>407</v>
      </c>
      <c r="E35" s="1" t="s">
        <v>159</v>
      </c>
      <c r="F35" s="1" t="s">
        <v>163</v>
      </c>
      <c r="G35" s="1" t="s">
        <v>408</v>
      </c>
      <c r="I35" s="2" t="s">
        <v>150</v>
      </c>
      <c r="J35" s="2" t="s">
        <v>160</v>
      </c>
      <c r="K35" s="2" t="s">
        <v>201</v>
      </c>
      <c r="M35" s="1" t="s">
        <v>409</v>
      </c>
      <c r="N35" s="7"/>
      <c r="P35" s="1" t="s">
        <v>159</v>
      </c>
      <c r="Q35" s="1" t="s">
        <v>410</v>
      </c>
      <c r="R35" s="1" t="s">
        <v>63</v>
      </c>
      <c r="T35" s="1" t="s">
        <v>118</v>
      </c>
      <c r="U35" s="1" t="s">
        <v>130</v>
      </c>
      <c r="V35" s="1" t="s">
        <v>411</v>
      </c>
      <c r="X35" s="1" t="s">
        <v>412</v>
      </c>
      <c r="Y35" s="7"/>
    </row>
    <row r="36">
      <c r="A36" s="1" t="s">
        <v>145</v>
      </c>
      <c r="B36" s="1" t="s">
        <v>148</v>
      </c>
      <c r="C36" s="1" t="s">
        <v>149</v>
      </c>
      <c r="E36" s="1" t="s">
        <v>167</v>
      </c>
      <c r="F36" s="1" t="s">
        <v>87</v>
      </c>
      <c r="G36" s="4" t="s">
        <v>413</v>
      </c>
      <c r="I36" s="2" t="s">
        <v>150</v>
      </c>
      <c r="J36" s="2" t="s">
        <v>414</v>
      </c>
      <c r="K36" s="2" t="s">
        <v>415</v>
      </c>
      <c r="M36" s="1" t="s">
        <v>318</v>
      </c>
      <c r="N36" s="1" t="s">
        <v>149</v>
      </c>
      <c r="P36" s="1" t="s">
        <v>159</v>
      </c>
      <c r="Q36" s="1" t="s">
        <v>202</v>
      </c>
      <c r="R36" s="1" t="s">
        <v>44</v>
      </c>
      <c r="T36" s="1" t="s">
        <v>118</v>
      </c>
      <c r="U36" s="1" t="s">
        <v>136</v>
      </c>
      <c r="V36" s="1" t="s">
        <v>411</v>
      </c>
      <c r="X36" s="1" t="s">
        <v>99</v>
      </c>
      <c r="Y36" s="1" t="s">
        <v>416</v>
      </c>
    </row>
    <row r="37">
      <c r="A37" s="1" t="s">
        <v>145</v>
      </c>
      <c r="B37" s="1" t="s">
        <v>393</v>
      </c>
      <c r="C37" s="1" t="s">
        <v>149</v>
      </c>
      <c r="E37" s="1" t="s">
        <v>167</v>
      </c>
      <c r="F37" s="1" t="s">
        <v>178</v>
      </c>
      <c r="G37" s="1" t="s">
        <v>417</v>
      </c>
      <c r="I37" s="2" t="s">
        <v>150</v>
      </c>
      <c r="J37" s="2" t="s">
        <v>43</v>
      </c>
      <c r="K37" s="2" t="s">
        <v>44</v>
      </c>
      <c r="M37" s="1" t="s">
        <v>112</v>
      </c>
      <c r="N37" s="1" t="s">
        <v>418</v>
      </c>
      <c r="P37" s="1" t="s">
        <v>167</v>
      </c>
      <c r="Q37" s="1" t="s">
        <v>170</v>
      </c>
      <c r="R37" s="4" t="s">
        <v>419</v>
      </c>
      <c r="T37" s="1" t="s">
        <v>118</v>
      </c>
      <c r="U37" s="1" t="s">
        <v>395</v>
      </c>
      <c r="V37" s="1" t="s">
        <v>420</v>
      </c>
      <c r="X37" s="1" t="s">
        <v>172</v>
      </c>
      <c r="Y37" s="1" t="s">
        <v>421</v>
      </c>
    </row>
    <row r="38">
      <c r="A38" s="1" t="s">
        <v>159</v>
      </c>
      <c r="B38" s="1" t="s">
        <v>422</v>
      </c>
      <c r="C38" s="1" t="s">
        <v>423</v>
      </c>
      <c r="E38" s="1" t="s">
        <v>167</v>
      </c>
      <c r="F38" s="1" t="s">
        <v>181</v>
      </c>
      <c r="G38" s="7">
        <f>+91-22-22016157 / 59 / 53</f>
        <v>-6971.664215</v>
      </c>
      <c r="I38" s="2" t="s">
        <v>167</v>
      </c>
      <c r="J38" s="2" t="s">
        <v>170</v>
      </c>
      <c r="K38" s="6" t="s">
        <v>424</v>
      </c>
      <c r="M38" s="1" t="s">
        <v>154</v>
      </c>
      <c r="N38" s="1" t="s">
        <v>425</v>
      </c>
      <c r="P38" s="1" t="s">
        <v>167</v>
      </c>
      <c r="Q38" s="1" t="s">
        <v>176</v>
      </c>
      <c r="R38" s="4" t="s">
        <v>426</v>
      </c>
      <c r="T38" s="1" t="s">
        <v>145</v>
      </c>
      <c r="U38" s="1" t="s">
        <v>141</v>
      </c>
      <c r="V38" s="1" t="s">
        <v>427</v>
      </c>
      <c r="X38" s="1" t="s">
        <v>428</v>
      </c>
      <c r="Y38" s="1" t="s">
        <v>63</v>
      </c>
    </row>
    <row r="39">
      <c r="A39" s="1" t="s">
        <v>159</v>
      </c>
      <c r="B39" s="1" t="s">
        <v>151</v>
      </c>
      <c r="C39" s="1" t="s">
        <v>429</v>
      </c>
      <c r="I39" s="2" t="s">
        <v>167</v>
      </c>
      <c r="J39" s="2" t="s">
        <v>178</v>
      </c>
      <c r="K39" s="2" t="s">
        <v>430</v>
      </c>
      <c r="M39" s="1" t="s">
        <v>161</v>
      </c>
      <c r="N39" s="1" t="s">
        <v>353</v>
      </c>
      <c r="P39" s="1" t="s">
        <v>167</v>
      </c>
      <c r="Q39" s="1" t="s">
        <v>178</v>
      </c>
      <c r="R39" s="1" t="s">
        <v>431</v>
      </c>
      <c r="T39" s="1" t="s">
        <v>145</v>
      </c>
      <c r="U39" s="1" t="s">
        <v>393</v>
      </c>
      <c r="V39" s="1" t="s">
        <v>432</v>
      </c>
      <c r="X39" s="1" t="s">
        <v>433</v>
      </c>
      <c r="Y39" s="1" t="s">
        <v>434</v>
      </c>
    </row>
    <row r="40">
      <c r="A40" s="1" t="s">
        <v>159</v>
      </c>
      <c r="B40" s="1" t="s">
        <v>157</v>
      </c>
      <c r="C40" s="1" t="s">
        <v>435</v>
      </c>
      <c r="I40" s="2" t="s">
        <v>167</v>
      </c>
      <c r="J40" s="2" t="s">
        <v>181</v>
      </c>
      <c r="K40" s="10">
        <f>+91-44-46277555</f>
        <v>-46277508</v>
      </c>
      <c r="M40" s="7"/>
      <c r="N40" s="7"/>
      <c r="P40" s="1" t="s">
        <v>167</v>
      </c>
      <c r="Q40" s="1" t="s">
        <v>181</v>
      </c>
      <c r="R40" s="7">
        <f>+91-674-2725113 / 2725114</f>
        <v>-583.9999996</v>
      </c>
      <c r="T40" s="1" t="s">
        <v>150</v>
      </c>
      <c r="U40" s="1" t="s">
        <v>157</v>
      </c>
      <c r="V40" s="1" t="s">
        <v>201</v>
      </c>
      <c r="X40" s="1" t="s">
        <v>183</v>
      </c>
      <c r="Y40" s="1" t="s">
        <v>358</v>
      </c>
    </row>
    <row r="41">
      <c r="A41" s="1" t="s">
        <v>159</v>
      </c>
      <c r="B41" s="1" t="s">
        <v>163</v>
      </c>
      <c r="C41" s="1" t="s">
        <v>436</v>
      </c>
      <c r="M41" s="1" t="s">
        <v>437</v>
      </c>
      <c r="N41" s="7"/>
      <c r="T41" s="1" t="s">
        <v>150</v>
      </c>
      <c r="U41" s="1" t="s">
        <v>163</v>
      </c>
      <c r="V41" s="1" t="s">
        <v>438</v>
      </c>
      <c r="X41" s="1" t="s">
        <v>185</v>
      </c>
      <c r="Y41" s="1" t="s">
        <v>439</v>
      </c>
    </row>
    <row r="42">
      <c r="A42" s="1" t="s">
        <v>167</v>
      </c>
      <c r="B42" s="1" t="s">
        <v>87</v>
      </c>
      <c r="C42" s="4" t="s">
        <v>440</v>
      </c>
      <c r="M42" s="1" t="s">
        <v>99</v>
      </c>
      <c r="N42" s="1" t="s">
        <v>416</v>
      </c>
      <c r="T42" s="1" t="s">
        <v>167</v>
      </c>
      <c r="U42" s="1" t="s">
        <v>87</v>
      </c>
      <c r="V42" s="4" t="s">
        <v>168</v>
      </c>
      <c r="X42" s="1" t="s">
        <v>441</v>
      </c>
      <c r="Y42" s="7"/>
    </row>
    <row r="43">
      <c r="A43" s="1" t="s">
        <v>167</v>
      </c>
      <c r="B43" s="1" t="s">
        <v>174</v>
      </c>
      <c r="C43" s="4" t="s">
        <v>440</v>
      </c>
      <c r="M43" s="1" t="s">
        <v>442</v>
      </c>
      <c r="N43" s="1" t="s">
        <v>443</v>
      </c>
      <c r="T43" s="1" t="s">
        <v>167</v>
      </c>
      <c r="U43" s="1" t="s">
        <v>174</v>
      </c>
      <c r="V43" s="4" t="s">
        <v>444</v>
      </c>
      <c r="X43" s="1" t="s">
        <v>119</v>
      </c>
      <c r="Y43" s="1" t="s">
        <v>445</v>
      </c>
    </row>
    <row r="44">
      <c r="A44" s="1" t="s">
        <v>167</v>
      </c>
      <c r="B44" s="1" t="s">
        <v>178</v>
      </c>
      <c r="C44" s="1" t="s">
        <v>11</v>
      </c>
      <c r="M44" s="1" t="s">
        <v>183</v>
      </c>
      <c r="N44" s="1" t="s">
        <v>184</v>
      </c>
      <c r="T44" s="1" t="s">
        <v>167</v>
      </c>
      <c r="U44" s="1" t="s">
        <v>446</v>
      </c>
      <c r="V44" s="1" t="s">
        <v>179</v>
      </c>
      <c r="X44" s="1" t="s">
        <v>124</v>
      </c>
      <c r="Y44" s="1" t="s">
        <v>447</v>
      </c>
    </row>
    <row r="45">
      <c r="A45" s="1" t="s">
        <v>167</v>
      </c>
      <c r="B45" s="1" t="s">
        <v>448</v>
      </c>
      <c r="C45" s="1" t="s">
        <v>11</v>
      </c>
      <c r="M45" s="1" t="s">
        <v>449</v>
      </c>
      <c r="N45" s="1" t="s">
        <v>450</v>
      </c>
      <c r="T45" s="1" t="s">
        <v>167</v>
      </c>
      <c r="U45" s="1" t="s">
        <v>451</v>
      </c>
      <c r="V45" s="1" t="s">
        <v>452</v>
      </c>
      <c r="X45" s="1" t="s">
        <v>132</v>
      </c>
      <c r="Y45" s="1" t="s">
        <v>131</v>
      </c>
    </row>
    <row r="46">
      <c r="M46" s="7"/>
      <c r="N46" s="7"/>
      <c r="X46" s="1" t="s">
        <v>138</v>
      </c>
      <c r="Y46" s="1" t="s">
        <v>137</v>
      </c>
    </row>
    <row r="47">
      <c r="M47" s="1" t="s">
        <v>453</v>
      </c>
      <c r="N47" s="7"/>
      <c r="X47" s="1" t="s">
        <v>191</v>
      </c>
      <c r="Y47" s="1" t="s">
        <v>454</v>
      </c>
    </row>
    <row r="48">
      <c r="M48" s="1" t="s">
        <v>119</v>
      </c>
      <c r="N48" s="1" t="s">
        <v>455</v>
      </c>
      <c r="X48" s="1" t="s">
        <v>456</v>
      </c>
      <c r="Y48" s="1" t="s">
        <v>194</v>
      </c>
    </row>
    <row r="49">
      <c r="M49" s="1" t="s">
        <v>124</v>
      </c>
      <c r="N49" s="1" t="s">
        <v>457</v>
      </c>
      <c r="X49" s="1" t="s">
        <v>458</v>
      </c>
      <c r="Y49" s="7"/>
    </row>
    <row r="50">
      <c r="M50" s="1" t="s">
        <v>459</v>
      </c>
      <c r="N50" s="1" t="s">
        <v>460</v>
      </c>
      <c r="X50" s="1" t="s">
        <v>146</v>
      </c>
      <c r="Y50" s="1" t="s">
        <v>461</v>
      </c>
    </row>
    <row r="51">
      <c r="A51" s="1" t="s">
        <v>462</v>
      </c>
      <c r="B51" s="7"/>
      <c r="D51" s="1" t="s">
        <v>463</v>
      </c>
      <c r="E51" s="7"/>
      <c r="G51" s="1" t="s">
        <v>464</v>
      </c>
      <c r="H51" s="1" t="s">
        <v>465</v>
      </c>
      <c r="I51" s="1" t="s">
        <v>466</v>
      </c>
      <c r="M51" s="1" t="s">
        <v>467</v>
      </c>
      <c r="N51" s="1" t="s">
        <v>460</v>
      </c>
      <c r="X51" s="1" t="s">
        <v>153</v>
      </c>
      <c r="Y51" s="1" t="s">
        <v>201</v>
      </c>
    </row>
    <row r="52">
      <c r="A52" s="1" t="s">
        <v>212</v>
      </c>
      <c r="B52" s="7"/>
      <c r="D52" s="1" t="s">
        <v>468</v>
      </c>
      <c r="E52" s="7"/>
      <c r="G52" s="1" t="s">
        <v>9</v>
      </c>
      <c r="H52" s="1" t="s">
        <v>10</v>
      </c>
      <c r="I52" s="3">
        <v>45672.0</v>
      </c>
      <c r="M52" s="1" t="s">
        <v>191</v>
      </c>
      <c r="N52" s="1" t="s">
        <v>469</v>
      </c>
      <c r="X52" s="1" t="s">
        <v>195</v>
      </c>
      <c r="Y52" s="1" t="s">
        <v>149</v>
      </c>
    </row>
    <row r="53">
      <c r="A53" s="1" t="s">
        <v>10</v>
      </c>
      <c r="B53" s="3">
        <v>45643.0</v>
      </c>
      <c r="D53" s="1" t="s">
        <v>10</v>
      </c>
      <c r="E53" s="3">
        <v>45715.0</v>
      </c>
      <c r="G53" s="1" t="s">
        <v>9</v>
      </c>
      <c r="H53" s="1" t="s">
        <v>15</v>
      </c>
      <c r="I53" s="3">
        <v>45758.0</v>
      </c>
      <c r="M53" s="7"/>
      <c r="N53" s="7"/>
      <c r="X53" s="1" t="s">
        <v>470</v>
      </c>
      <c r="Y53" s="1" t="s">
        <v>471</v>
      </c>
    </row>
    <row r="54">
      <c r="A54" s="1" t="s">
        <v>15</v>
      </c>
      <c r="B54" s="3">
        <v>45672.0</v>
      </c>
      <c r="D54" s="1" t="s">
        <v>15</v>
      </c>
      <c r="E54" s="11">
        <v>45752.0</v>
      </c>
      <c r="G54" s="1" t="s">
        <v>9</v>
      </c>
      <c r="H54" s="1" t="s">
        <v>17</v>
      </c>
      <c r="I54" s="1" t="s">
        <v>228</v>
      </c>
      <c r="M54" s="1" t="s">
        <v>458</v>
      </c>
      <c r="N54" s="7"/>
      <c r="X54" s="1" t="s">
        <v>472</v>
      </c>
      <c r="Y54" s="7"/>
    </row>
    <row r="55">
      <c r="A55" s="1" t="s">
        <v>217</v>
      </c>
      <c r="B55" s="1" t="s">
        <v>11</v>
      </c>
      <c r="D55" s="1" t="s">
        <v>17</v>
      </c>
      <c r="E55" s="1" t="s">
        <v>473</v>
      </c>
      <c r="G55" s="1" t="s">
        <v>9</v>
      </c>
      <c r="H55" s="1" t="s">
        <v>19</v>
      </c>
      <c r="I55" s="1" t="s">
        <v>474</v>
      </c>
      <c r="M55" s="1" t="s">
        <v>146</v>
      </c>
      <c r="N55" s="1" t="s">
        <v>475</v>
      </c>
      <c r="X55" s="1" t="s">
        <v>198</v>
      </c>
      <c r="Y55" s="1" t="s">
        <v>63</v>
      </c>
    </row>
    <row r="56">
      <c r="A56" s="1" t="s">
        <v>20</v>
      </c>
      <c r="B56" s="3">
        <v>45739.0</v>
      </c>
      <c r="D56" s="1" t="s">
        <v>19</v>
      </c>
      <c r="E56" s="1" t="s">
        <v>476</v>
      </c>
      <c r="G56" s="1" t="s">
        <v>9</v>
      </c>
      <c r="H56" s="1" t="s">
        <v>477</v>
      </c>
      <c r="I56" s="1" t="s">
        <v>478</v>
      </c>
      <c r="M56" s="1" t="s">
        <v>153</v>
      </c>
      <c r="N56" s="1" t="s">
        <v>149</v>
      </c>
      <c r="X56" s="1" t="s">
        <v>479</v>
      </c>
      <c r="Y56" s="1" t="s">
        <v>480</v>
      </c>
    </row>
    <row r="57">
      <c r="A57" s="1" t="s">
        <v>227</v>
      </c>
      <c r="B57" s="1" t="s">
        <v>11</v>
      </c>
      <c r="D57" s="1" t="s">
        <v>227</v>
      </c>
      <c r="E57" s="1" t="s">
        <v>330</v>
      </c>
      <c r="G57" s="1" t="s">
        <v>9</v>
      </c>
      <c r="H57" s="1" t="s">
        <v>229</v>
      </c>
      <c r="I57" s="1" t="s">
        <v>481</v>
      </c>
      <c r="M57" s="1" t="s">
        <v>195</v>
      </c>
      <c r="N57" s="1" t="s">
        <v>149</v>
      </c>
      <c r="X57" s="1" t="s">
        <v>160</v>
      </c>
      <c r="Y57" s="1" t="s">
        <v>482</v>
      </c>
    </row>
    <row r="58">
      <c r="A58" s="1" t="s">
        <v>22</v>
      </c>
      <c r="B58" s="1" t="s">
        <v>11</v>
      </c>
      <c r="D58" s="1" t="s">
        <v>22</v>
      </c>
      <c r="E58" s="1" t="s">
        <v>483</v>
      </c>
      <c r="G58" s="1" t="s">
        <v>9</v>
      </c>
      <c r="H58" s="1" t="s">
        <v>26</v>
      </c>
      <c r="I58" s="1" t="s">
        <v>484</v>
      </c>
      <c r="M58" s="7"/>
      <c r="N58" s="7"/>
      <c r="X58" s="1" t="s">
        <v>202</v>
      </c>
      <c r="Y58" s="1" t="s">
        <v>485</v>
      </c>
    </row>
    <row r="59">
      <c r="A59" s="1" t="s">
        <v>26</v>
      </c>
      <c r="B59" s="1" t="s">
        <v>11</v>
      </c>
      <c r="D59" s="1" t="s">
        <v>26</v>
      </c>
      <c r="E59" s="9">
        <v>45839.0</v>
      </c>
      <c r="G59" s="1" t="s">
        <v>28</v>
      </c>
      <c r="H59" s="1" t="s">
        <v>486</v>
      </c>
      <c r="I59" s="1">
        <v>2.0</v>
      </c>
      <c r="M59" s="1" t="s">
        <v>472</v>
      </c>
      <c r="N59" s="7"/>
      <c r="X59" s="1" t="s">
        <v>487</v>
      </c>
      <c r="Y59" s="7"/>
    </row>
    <row r="60">
      <c r="A60" s="7"/>
      <c r="B60" s="7"/>
      <c r="D60" s="1" t="s">
        <v>488</v>
      </c>
      <c r="E60" s="7"/>
      <c r="G60" s="1" t="s">
        <v>28</v>
      </c>
      <c r="H60" s="1" t="s">
        <v>245</v>
      </c>
      <c r="I60" s="1" t="s">
        <v>489</v>
      </c>
      <c r="M60" s="1" t="s">
        <v>399</v>
      </c>
      <c r="N60" s="1" t="s">
        <v>201</v>
      </c>
      <c r="X60" s="1" t="s">
        <v>170</v>
      </c>
      <c r="Y60" s="4" t="s">
        <v>490</v>
      </c>
    </row>
    <row r="61">
      <c r="A61" s="1" t="s">
        <v>255</v>
      </c>
      <c r="B61" s="7"/>
      <c r="D61" s="1" t="s">
        <v>29</v>
      </c>
      <c r="E61" s="1" t="s">
        <v>246</v>
      </c>
      <c r="G61" s="1" t="s">
        <v>28</v>
      </c>
      <c r="H61" s="1" t="s">
        <v>36</v>
      </c>
      <c r="I61" s="1" t="s">
        <v>38</v>
      </c>
      <c r="M61" s="1" t="s">
        <v>491</v>
      </c>
      <c r="N61" s="1" t="s">
        <v>201</v>
      </c>
      <c r="X61" s="1" t="s">
        <v>176</v>
      </c>
      <c r="Y61" s="4" t="s">
        <v>88</v>
      </c>
    </row>
    <row r="62">
      <c r="A62" s="1" t="s">
        <v>492</v>
      </c>
      <c r="B62" s="1" t="s">
        <v>32</v>
      </c>
      <c r="D62" s="1" t="s">
        <v>36</v>
      </c>
      <c r="E62" s="1" t="s">
        <v>493</v>
      </c>
      <c r="G62" s="1" t="s">
        <v>28</v>
      </c>
      <c r="H62" s="1" t="s">
        <v>43</v>
      </c>
      <c r="I62" s="1" t="s">
        <v>44</v>
      </c>
      <c r="M62" s="1" t="s">
        <v>410</v>
      </c>
      <c r="N62" s="1" t="s">
        <v>63</v>
      </c>
      <c r="X62" s="1" t="s">
        <v>178</v>
      </c>
      <c r="Y62" s="1" t="s">
        <v>494</v>
      </c>
    </row>
    <row r="63">
      <c r="A63" s="1" t="s">
        <v>29</v>
      </c>
      <c r="B63" s="1" t="s">
        <v>495</v>
      </c>
      <c r="D63" s="1" t="s">
        <v>48</v>
      </c>
      <c r="E63" s="1" t="s">
        <v>496</v>
      </c>
      <c r="G63" s="1" t="s">
        <v>28</v>
      </c>
      <c r="H63" s="1" t="s">
        <v>47</v>
      </c>
      <c r="I63" s="1" t="s">
        <v>497</v>
      </c>
      <c r="M63" s="1" t="s">
        <v>43</v>
      </c>
      <c r="N63" s="1" t="s">
        <v>44</v>
      </c>
      <c r="X63" s="1" t="s">
        <v>181</v>
      </c>
      <c r="Y63" s="1" t="s">
        <v>498</v>
      </c>
    </row>
    <row r="64">
      <c r="A64" s="1" t="s">
        <v>36</v>
      </c>
      <c r="B64" s="1" t="s">
        <v>499</v>
      </c>
      <c r="D64" s="1" t="s">
        <v>47</v>
      </c>
      <c r="E64" s="1" t="s">
        <v>261</v>
      </c>
      <c r="G64" s="1" t="s">
        <v>28</v>
      </c>
      <c r="H64" s="1" t="s">
        <v>62</v>
      </c>
      <c r="I64" s="1" t="s">
        <v>500</v>
      </c>
      <c r="M64" s="7"/>
      <c r="N64" s="7"/>
    </row>
    <row r="65">
      <c r="A65" s="1" t="s">
        <v>275</v>
      </c>
      <c r="B65" s="1" t="s">
        <v>11</v>
      </c>
      <c r="D65" s="1" t="s">
        <v>62</v>
      </c>
      <c r="E65" s="1" t="s">
        <v>63</v>
      </c>
      <c r="G65" s="1" t="s">
        <v>45</v>
      </c>
      <c r="H65" s="1" t="s">
        <v>55</v>
      </c>
      <c r="I65" s="1" t="s">
        <v>501</v>
      </c>
      <c r="M65" s="1" t="s">
        <v>502</v>
      </c>
      <c r="N65" s="7"/>
    </row>
    <row r="66">
      <c r="A66" s="1" t="s">
        <v>47</v>
      </c>
      <c r="B66" s="1" t="s">
        <v>267</v>
      </c>
      <c r="D66" s="1" t="s">
        <v>503</v>
      </c>
      <c r="E66" s="7"/>
      <c r="G66" s="1" t="s">
        <v>45</v>
      </c>
      <c r="H66" s="1" t="s">
        <v>61</v>
      </c>
      <c r="I66" s="1" t="s">
        <v>273</v>
      </c>
      <c r="M66" s="1" t="s">
        <v>504</v>
      </c>
      <c r="N66" s="4" t="s">
        <v>505</v>
      </c>
    </row>
    <row r="67">
      <c r="A67" s="1" t="s">
        <v>62</v>
      </c>
      <c r="B67" s="1" t="s">
        <v>63</v>
      </c>
      <c r="D67" s="1" t="s">
        <v>55</v>
      </c>
      <c r="E67" s="1" t="s">
        <v>58</v>
      </c>
      <c r="G67" s="1" t="s">
        <v>45</v>
      </c>
      <c r="H67" s="1" t="s">
        <v>81</v>
      </c>
      <c r="I67" s="1" t="s">
        <v>506</v>
      </c>
      <c r="M67" s="1" t="s">
        <v>176</v>
      </c>
      <c r="N67" s="4" t="s">
        <v>507</v>
      </c>
    </row>
    <row r="68">
      <c r="A68" s="7"/>
      <c r="B68" s="7"/>
      <c r="D68" s="1" t="s">
        <v>61</v>
      </c>
      <c r="E68" s="1" t="s">
        <v>273</v>
      </c>
      <c r="G68" s="1" t="s">
        <v>45</v>
      </c>
      <c r="H68" s="1" t="s">
        <v>76</v>
      </c>
      <c r="I68" s="1" t="s">
        <v>322</v>
      </c>
      <c r="M68" s="1" t="s">
        <v>178</v>
      </c>
      <c r="N68" s="1" t="s">
        <v>508</v>
      </c>
    </row>
    <row r="69">
      <c r="A69" s="1" t="s">
        <v>292</v>
      </c>
      <c r="B69" s="7"/>
      <c r="D69" s="1" t="s">
        <v>81</v>
      </c>
      <c r="E69" s="1" t="s">
        <v>509</v>
      </c>
      <c r="G69" s="1" t="s">
        <v>45</v>
      </c>
      <c r="H69" s="1" t="s">
        <v>290</v>
      </c>
      <c r="I69" s="1" t="s">
        <v>510</v>
      </c>
      <c r="M69" s="1" t="s">
        <v>181</v>
      </c>
      <c r="N69" s="7">
        <f>+91-44-2745-5555</f>
        <v>-8253</v>
      </c>
    </row>
    <row r="70">
      <c r="A70" s="1" t="s">
        <v>55</v>
      </c>
      <c r="B70" s="1" t="s">
        <v>58</v>
      </c>
      <c r="D70" s="1" t="s">
        <v>76</v>
      </c>
      <c r="E70" s="1" t="s">
        <v>282</v>
      </c>
      <c r="G70" s="1" t="s">
        <v>45</v>
      </c>
      <c r="H70" s="1" t="s">
        <v>107</v>
      </c>
      <c r="I70" s="1" t="s">
        <v>511</v>
      </c>
    </row>
    <row r="71">
      <c r="A71" s="1" t="s">
        <v>61</v>
      </c>
      <c r="B71" s="1" t="s">
        <v>11</v>
      </c>
      <c r="D71" s="1" t="s">
        <v>100</v>
      </c>
      <c r="E71" s="1" t="s">
        <v>512</v>
      </c>
      <c r="G71" s="1" t="s">
        <v>513</v>
      </c>
      <c r="H71" s="1" t="s">
        <v>514</v>
      </c>
      <c r="I71" s="1" t="s">
        <v>515</v>
      </c>
    </row>
    <row r="72">
      <c r="A72" s="1" t="s">
        <v>68</v>
      </c>
      <c r="B72" s="1" t="s">
        <v>516</v>
      </c>
      <c r="D72" s="1" t="s">
        <v>517</v>
      </c>
      <c r="E72" s="7"/>
      <c r="G72" s="1" t="s">
        <v>513</v>
      </c>
      <c r="H72" s="1" t="s">
        <v>518</v>
      </c>
      <c r="I72" s="1" t="s">
        <v>519</v>
      </c>
    </row>
    <row r="73">
      <c r="A73" s="1" t="s">
        <v>321</v>
      </c>
      <c r="B73" s="1" t="s">
        <v>520</v>
      </c>
      <c r="D73" s="1" t="s">
        <v>521</v>
      </c>
      <c r="E73" s="1" t="s">
        <v>522</v>
      </c>
      <c r="G73" s="1" t="s">
        <v>513</v>
      </c>
      <c r="H73" s="1" t="s">
        <v>523</v>
      </c>
      <c r="I73" s="1" t="s">
        <v>524</v>
      </c>
    </row>
    <row r="74">
      <c r="A74" s="1" t="s">
        <v>100</v>
      </c>
      <c r="B74" s="1" t="s">
        <v>525</v>
      </c>
      <c r="D74" s="1" t="s">
        <v>526</v>
      </c>
      <c r="E74" s="1" t="s">
        <v>527</v>
      </c>
      <c r="G74" s="1" t="s">
        <v>513</v>
      </c>
      <c r="H74" s="1" t="s">
        <v>528</v>
      </c>
      <c r="I74" s="1" t="s">
        <v>529</v>
      </c>
    </row>
    <row r="75">
      <c r="A75" s="1" t="s">
        <v>530</v>
      </c>
      <c r="B75" s="1" t="s">
        <v>531</v>
      </c>
      <c r="D75" s="1" t="s">
        <v>532</v>
      </c>
      <c r="E75" s="1" t="s">
        <v>533</v>
      </c>
      <c r="G75" s="1" t="s">
        <v>534</v>
      </c>
      <c r="H75" s="1" t="s">
        <v>535</v>
      </c>
      <c r="I75" s="1" t="s">
        <v>536</v>
      </c>
    </row>
    <row r="76">
      <c r="A76" s="7"/>
      <c r="B76" s="7"/>
      <c r="D76" s="1" t="s">
        <v>537</v>
      </c>
      <c r="E76" s="7"/>
      <c r="G76" s="1" t="s">
        <v>534</v>
      </c>
      <c r="H76" s="1" t="s">
        <v>538</v>
      </c>
      <c r="I76" s="1" t="s">
        <v>539</v>
      </c>
    </row>
    <row r="77">
      <c r="A77" s="1" t="s">
        <v>347</v>
      </c>
      <c r="B77" s="7"/>
      <c r="D77" s="1" t="s">
        <v>540</v>
      </c>
      <c r="E77" s="1" t="s">
        <v>541</v>
      </c>
      <c r="G77" s="1" t="s">
        <v>79</v>
      </c>
      <c r="H77" s="1" t="s">
        <v>318</v>
      </c>
      <c r="I77" s="1" t="s">
        <v>149</v>
      </c>
    </row>
    <row r="78">
      <c r="A78" s="1" t="s">
        <v>114</v>
      </c>
      <c r="B78" s="1" t="s">
        <v>542</v>
      </c>
      <c r="D78" s="1" t="s">
        <v>543</v>
      </c>
      <c r="E78" s="7"/>
      <c r="G78" s="1" t="s">
        <v>79</v>
      </c>
      <c r="H78" s="1" t="s">
        <v>325</v>
      </c>
      <c r="I78" s="1" t="s">
        <v>544</v>
      </c>
    </row>
    <row r="79">
      <c r="A79" s="1" t="s">
        <v>305</v>
      </c>
      <c r="B79" s="1" t="s">
        <v>545</v>
      </c>
      <c r="D79" s="1" t="s">
        <v>546</v>
      </c>
      <c r="E79" s="1" t="s">
        <v>547</v>
      </c>
      <c r="G79" s="1" t="s">
        <v>79</v>
      </c>
      <c r="H79" s="1" t="s">
        <v>154</v>
      </c>
      <c r="I79" s="1" t="s">
        <v>63</v>
      </c>
    </row>
    <row r="80">
      <c r="A80" s="1" t="s">
        <v>122</v>
      </c>
      <c r="B80" s="1" t="s">
        <v>111</v>
      </c>
      <c r="D80" s="1" t="s">
        <v>112</v>
      </c>
      <c r="E80" s="1" t="s">
        <v>332</v>
      </c>
      <c r="G80" s="1" t="s">
        <v>548</v>
      </c>
      <c r="H80" s="1" t="s">
        <v>549</v>
      </c>
      <c r="I80" s="1" t="s">
        <v>111</v>
      </c>
    </row>
    <row r="81">
      <c r="A81" s="1" t="s">
        <v>91</v>
      </c>
      <c r="B81" s="1" t="s">
        <v>63</v>
      </c>
      <c r="D81" s="1" t="s">
        <v>550</v>
      </c>
      <c r="E81" s="7"/>
      <c r="G81" s="1" t="s">
        <v>548</v>
      </c>
      <c r="H81" s="1" t="s">
        <v>183</v>
      </c>
      <c r="I81" s="1" t="s">
        <v>184</v>
      </c>
    </row>
    <row r="82">
      <c r="A82" s="7"/>
      <c r="B82" s="7"/>
      <c r="D82" s="1" t="s">
        <v>99</v>
      </c>
      <c r="E82" s="1" t="s">
        <v>111</v>
      </c>
      <c r="G82" s="1" t="s">
        <v>548</v>
      </c>
      <c r="H82" s="1" t="s">
        <v>551</v>
      </c>
      <c r="I82" s="1" t="s">
        <v>552</v>
      </c>
    </row>
    <row r="83">
      <c r="A83" s="1" t="s">
        <v>553</v>
      </c>
      <c r="B83" s="7"/>
      <c r="D83" s="1" t="s">
        <v>177</v>
      </c>
      <c r="E83" s="1" t="s">
        <v>201</v>
      </c>
      <c r="G83" s="1" t="s">
        <v>118</v>
      </c>
      <c r="H83" s="1" t="s">
        <v>119</v>
      </c>
      <c r="I83" s="1" t="s">
        <v>554</v>
      </c>
    </row>
    <row r="84">
      <c r="A84" s="1" t="s">
        <v>105</v>
      </c>
      <c r="B84" s="1" t="s">
        <v>555</v>
      </c>
      <c r="D84" s="1" t="s">
        <v>183</v>
      </c>
      <c r="E84" s="1" t="s">
        <v>184</v>
      </c>
      <c r="G84" s="1" t="s">
        <v>118</v>
      </c>
      <c r="H84" s="1" t="s">
        <v>124</v>
      </c>
      <c r="I84" s="1" t="s">
        <v>556</v>
      </c>
    </row>
    <row r="85">
      <c r="A85" s="1" t="s">
        <v>112</v>
      </c>
      <c r="B85" s="1" t="s">
        <v>557</v>
      </c>
      <c r="D85" s="1" t="s">
        <v>558</v>
      </c>
      <c r="E85" s="7"/>
      <c r="G85" s="1" t="s">
        <v>118</v>
      </c>
      <c r="H85" s="1" t="s">
        <v>376</v>
      </c>
      <c r="I85" s="1" t="s">
        <v>363</v>
      </c>
    </row>
    <row r="86">
      <c r="A86" s="1" t="s">
        <v>154</v>
      </c>
      <c r="B86" s="1" t="s">
        <v>11</v>
      </c>
      <c r="D86" s="1" t="s">
        <v>119</v>
      </c>
      <c r="E86" s="1" t="s">
        <v>559</v>
      </c>
      <c r="G86" s="1" t="s">
        <v>118</v>
      </c>
      <c r="H86" s="1" t="s">
        <v>383</v>
      </c>
      <c r="I86" s="1" t="s">
        <v>560</v>
      </c>
    </row>
    <row r="87">
      <c r="A87" s="1" t="s">
        <v>161</v>
      </c>
      <c r="B87" s="1" t="s">
        <v>561</v>
      </c>
      <c r="D87" s="1" t="s">
        <v>124</v>
      </c>
      <c r="E87" s="1" t="s">
        <v>562</v>
      </c>
      <c r="G87" s="1" t="s">
        <v>118</v>
      </c>
      <c r="H87" s="1" t="s">
        <v>388</v>
      </c>
      <c r="I87" s="1" t="s">
        <v>469</v>
      </c>
    </row>
    <row r="88">
      <c r="A88" s="7"/>
      <c r="B88" s="7"/>
      <c r="D88" s="1" t="s">
        <v>563</v>
      </c>
      <c r="E88" s="1" t="s">
        <v>564</v>
      </c>
      <c r="G88" s="1" t="s">
        <v>145</v>
      </c>
      <c r="H88" s="1" t="s">
        <v>565</v>
      </c>
      <c r="I88" s="1" t="s">
        <v>566</v>
      </c>
    </row>
    <row r="89">
      <c r="A89" s="1" t="s">
        <v>567</v>
      </c>
      <c r="B89" s="7"/>
      <c r="D89" s="1" t="s">
        <v>568</v>
      </c>
      <c r="E89" s="7"/>
      <c r="G89" s="1" t="s">
        <v>145</v>
      </c>
      <c r="H89" s="1" t="s">
        <v>153</v>
      </c>
      <c r="I89" s="1" t="s">
        <v>149</v>
      </c>
    </row>
    <row r="90">
      <c r="A90" s="1" t="s">
        <v>99</v>
      </c>
      <c r="B90" s="1" t="s">
        <v>569</v>
      </c>
      <c r="D90" s="1" t="s">
        <v>146</v>
      </c>
      <c r="E90" s="1" t="s">
        <v>382</v>
      </c>
      <c r="G90" s="1" t="s">
        <v>145</v>
      </c>
      <c r="H90" s="1" t="s">
        <v>195</v>
      </c>
      <c r="I90" s="1" t="s">
        <v>149</v>
      </c>
    </row>
    <row r="91">
      <c r="A91" s="1" t="s">
        <v>442</v>
      </c>
      <c r="B91" s="1" t="s">
        <v>570</v>
      </c>
      <c r="D91" s="1" t="s">
        <v>153</v>
      </c>
      <c r="E91" s="1" t="s">
        <v>149</v>
      </c>
      <c r="G91" s="1" t="s">
        <v>159</v>
      </c>
      <c r="H91" s="1" t="s">
        <v>571</v>
      </c>
      <c r="I91" s="1" t="s">
        <v>572</v>
      </c>
    </row>
    <row r="92">
      <c r="A92" s="1" t="s">
        <v>177</v>
      </c>
      <c r="B92" s="1" t="s">
        <v>63</v>
      </c>
      <c r="D92" s="1" t="s">
        <v>573</v>
      </c>
      <c r="E92" s="7"/>
      <c r="G92" s="1" t="s">
        <v>159</v>
      </c>
      <c r="H92" s="1" t="s">
        <v>160</v>
      </c>
      <c r="I92" s="1" t="s">
        <v>201</v>
      </c>
    </row>
    <row r="93">
      <c r="A93" s="1" t="s">
        <v>180</v>
      </c>
      <c r="B93" s="1" t="s">
        <v>11</v>
      </c>
      <c r="D93" s="1" t="s">
        <v>574</v>
      </c>
      <c r="E93" s="1" t="s">
        <v>575</v>
      </c>
      <c r="G93" s="1" t="s">
        <v>159</v>
      </c>
      <c r="H93" s="1" t="s">
        <v>202</v>
      </c>
      <c r="I93" s="1" t="s">
        <v>44</v>
      </c>
    </row>
    <row r="94">
      <c r="A94" s="1" t="s">
        <v>576</v>
      </c>
      <c r="B94" s="1" t="s">
        <v>11</v>
      </c>
      <c r="D94" s="1" t="s">
        <v>202</v>
      </c>
      <c r="E94" s="1" t="s">
        <v>577</v>
      </c>
      <c r="G94" s="1" t="s">
        <v>204</v>
      </c>
      <c r="H94" s="1" t="s">
        <v>170</v>
      </c>
      <c r="I94" s="4" t="s">
        <v>156</v>
      </c>
    </row>
    <row r="95">
      <c r="A95" s="1" t="s">
        <v>185</v>
      </c>
      <c r="B95" s="1" t="s">
        <v>578</v>
      </c>
      <c r="D95" s="1" t="s">
        <v>579</v>
      </c>
      <c r="E95" s="7"/>
      <c r="G95" s="1" t="s">
        <v>204</v>
      </c>
      <c r="H95" s="1" t="s">
        <v>176</v>
      </c>
      <c r="I95" s="4" t="s">
        <v>580</v>
      </c>
    </row>
    <row r="96">
      <c r="A96" s="7"/>
      <c r="B96" s="7"/>
      <c r="D96" s="1" t="s">
        <v>504</v>
      </c>
      <c r="E96" s="4" t="s">
        <v>581</v>
      </c>
      <c r="G96" s="1" t="s">
        <v>204</v>
      </c>
      <c r="H96" s="1" t="s">
        <v>178</v>
      </c>
      <c r="I96" s="1" t="s">
        <v>582</v>
      </c>
    </row>
    <row r="97">
      <c r="A97" s="1" t="s">
        <v>453</v>
      </c>
      <c r="B97" s="7"/>
      <c r="D97" s="1" t="s">
        <v>178</v>
      </c>
      <c r="E97" s="1" t="s">
        <v>583</v>
      </c>
      <c r="G97" s="1" t="s">
        <v>204</v>
      </c>
      <c r="H97" s="1" t="s">
        <v>181</v>
      </c>
      <c r="I97" s="7">
        <f>+91-1596-242205 / 242210</f>
        <v>-1505.999979</v>
      </c>
    </row>
    <row r="98">
      <c r="A98" s="1" t="s">
        <v>119</v>
      </c>
      <c r="B98" s="1" t="s">
        <v>584</v>
      </c>
      <c r="D98" s="1" t="s">
        <v>181</v>
      </c>
      <c r="E98" s="1" t="s">
        <v>585</v>
      </c>
    </row>
    <row r="99">
      <c r="A99" s="1" t="s">
        <v>124</v>
      </c>
      <c r="B99" s="1" t="s">
        <v>586</v>
      </c>
    </row>
    <row r="100">
      <c r="A100" s="1" t="s">
        <v>132</v>
      </c>
      <c r="B100" s="1" t="s">
        <v>587</v>
      </c>
    </row>
    <row r="101">
      <c r="A101" s="1" t="s">
        <v>138</v>
      </c>
      <c r="B101" s="1" t="s">
        <v>588</v>
      </c>
    </row>
    <row r="102">
      <c r="A102" s="1" t="s">
        <v>191</v>
      </c>
      <c r="B102" s="1" t="s">
        <v>589</v>
      </c>
    </row>
    <row r="103">
      <c r="A103" s="1" t="s">
        <v>590</v>
      </c>
      <c r="B103" s="1" t="s">
        <v>591</v>
      </c>
    </row>
    <row r="104">
      <c r="A104" s="7"/>
      <c r="B104" s="7"/>
    </row>
    <row r="105">
      <c r="A105" s="1" t="s">
        <v>458</v>
      </c>
      <c r="B105" s="7"/>
    </row>
    <row r="106">
      <c r="A106" s="1" t="s">
        <v>146</v>
      </c>
      <c r="B106" s="1" t="s">
        <v>592</v>
      </c>
    </row>
    <row r="107">
      <c r="A107" s="1" t="s">
        <v>153</v>
      </c>
      <c r="B107" s="1" t="s">
        <v>593</v>
      </c>
    </row>
    <row r="108">
      <c r="A108" s="1" t="s">
        <v>195</v>
      </c>
      <c r="B108" s="1" t="s">
        <v>184</v>
      </c>
    </row>
    <row r="109">
      <c r="A109" s="1" t="s">
        <v>594</v>
      </c>
      <c r="B109" s="1" t="s">
        <v>595</v>
      </c>
    </row>
    <row r="110">
      <c r="A110" s="7"/>
      <c r="B110" s="7"/>
    </row>
    <row r="111">
      <c r="A111" s="1" t="s">
        <v>472</v>
      </c>
      <c r="B111" s="7"/>
    </row>
    <row r="112">
      <c r="A112" s="1" t="s">
        <v>198</v>
      </c>
      <c r="B112" s="1" t="s">
        <v>63</v>
      </c>
    </row>
    <row r="113">
      <c r="A113" s="1" t="s">
        <v>165</v>
      </c>
      <c r="B113" s="1" t="s">
        <v>596</v>
      </c>
    </row>
    <row r="114">
      <c r="A114" s="1" t="s">
        <v>597</v>
      </c>
      <c r="B114" s="1" t="s">
        <v>598</v>
      </c>
    </row>
    <row r="115">
      <c r="A115" s="1" t="s">
        <v>202</v>
      </c>
      <c r="B115" s="1" t="s">
        <v>11</v>
      </c>
    </row>
    <row r="116">
      <c r="A116" s="7"/>
      <c r="B116" s="7"/>
    </row>
    <row r="117">
      <c r="A117" s="1" t="s">
        <v>599</v>
      </c>
      <c r="B117" s="7"/>
    </row>
    <row r="118">
      <c r="A118" s="1" t="s">
        <v>170</v>
      </c>
      <c r="B118" s="4" t="s">
        <v>600</v>
      </c>
    </row>
    <row r="119">
      <c r="A119" s="1" t="s">
        <v>176</v>
      </c>
      <c r="B119" s="4" t="s">
        <v>600</v>
      </c>
    </row>
    <row r="120">
      <c r="A120" s="1" t="s">
        <v>178</v>
      </c>
      <c r="B120" s="1" t="s">
        <v>601</v>
      </c>
    </row>
    <row r="121">
      <c r="A121" s="1" t="s">
        <v>602</v>
      </c>
      <c r="B121" s="1" t="s">
        <v>601</v>
      </c>
    </row>
    <row r="122">
      <c r="A122" s="7"/>
      <c r="B122" s="7"/>
    </row>
    <row r="123">
      <c r="A123" s="1" t="s">
        <v>603</v>
      </c>
      <c r="B123" s="7"/>
    </row>
    <row r="124">
      <c r="A124" s="1" t="s">
        <v>604</v>
      </c>
      <c r="B124" s="1" t="s">
        <v>605</v>
      </c>
    </row>
  </sheetData>
  <hyperlinks>
    <hyperlink r:id="rId1" ref="G36"/>
    <hyperlink r:id="rId2" ref="R37"/>
    <hyperlink r:id="rId3" ref="K38"/>
    <hyperlink r:id="rId4" ref="R38"/>
    <hyperlink r:id="rId5" ref="C42"/>
    <hyperlink r:id="rId6" ref="V42"/>
    <hyperlink r:id="rId7" ref="C43"/>
    <hyperlink r:id="rId8" ref="V43"/>
    <hyperlink r:id="rId9" ref="Y60"/>
    <hyperlink r:id="rId10" ref="Y61"/>
    <hyperlink r:id="rId11" ref="N66"/>
    <hyperlink r:id="rId12" ref="N67"/>
    <hyperlink r:id="rId13" ref="I94"/>
    <hyperlink r:id="rId14" ref="I95"/>
    <hyperlink r:id="rId15" ref="E96"/>
    <hyperlink r:id="rId16" ref="B118"/>
    <hyperlink r:id="rId17" ref="B119"/>
  </hyperlinks>
  <drawing r:id="rId18"/>
</worksheet>
</file>